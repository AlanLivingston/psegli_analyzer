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tes" sheetId="2" state="visible" r:id="rId4"/>
    <sheet name="EffectiveR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<sst xmlns="http://schemas.openxmlformats.org/spreadsheetml/2006/main" count="189" uniqueCount="116">
  <si>
    <t xml:space="preserve">PSEG Long Island - Billing Analysis</t>
  </si>
  <si>
    <t xml:space="preserve">Source: Usage__7_.csv  |  Data 2025-05-30 to 2026-05-29  |  8 cycle(s)  |  Generated 2026-05-31</t>
  </si>
  <si>
    <t xml:space="preserve">BILLING CYCLE</t>
  </si>
  <si>
    <t xml:space="preserve">Cycle 1</t>
  </si>
  <si>
    <t xml:space="preserve">Cycle 2</t>
  </si>
  <si>
    <t xml:space="preserve">Cycle 3</t>
  </si>
  <si>
    <t xml:space="preserve">Cycle 4</t>
  </si>
  <si>
    <t xml:space="preserve">Cycle 5</t>
  </si>
  <si>
    <t xml:space="preserve">Cycle 6</t>
  </si>
  <si>
    <t xml:space="preserve">Cycle 7</t>
  </si>
  <si>
    <t xml:space="preserve">Cycle 8</t>
  </si>
  <si>
    <t xml:space="preserve">TOTAL</t>
  </si>
  <si>
    <t xml:space="preserve">Service period</t>
  </si>
  <si>
    <t xml:space="preserve">05/30/25-11/14/25</t>
  </si>
  <si>
    <t xml:space="preserve">11/15/25-12/15/25</t>
  </si>
  <si>
    <t xml:space="preserve">12/16/25-01/16/26</t>
  </si>
  <si>
    <t xml:space="preserve">01/17/26-02/13/26</t>
  </si>
  <si>
    <t xml:space="preserve">02/14/26-03/16/26</t>
  </si>
  <si>
    <t xml:space="preserve">03/17/26-04/16/26</t>
  </si>
  <si>
    <t xml:space="preserve">04/17/26-05/15/26</t>
  </si>
  <si>
    <t xml:space="preserve">05/16/26-05/29/26</t>
  </si>
  <si>
    <t xml:space="preserve">All cycles</t>
  </si>
  <si>
    <t xml:space="preserve">USAGE</t>
  </si>
  <si>
    <t xml:space="preserve">Days</t>
  </si>
  <si>
    <t xml:space="preserve">Net consumption (kWh)</t>
  </si>
  <si>
    <t xml:space="preserve">  Super-off-peak 10p-6a (kWh)</t>
  </si>
  <si>
    <t xml:space="preserve">  Off-peak (195 basis) (kWh)</t>
  </si>
  <si>
    <t xml:space="preserve">  Off-peak (194 basis) (kWh)</t>
  </si>
  <si>
    <t xml:space="preserve">  On-peak wkdy 3-7p (kWh)</t>
  </si>
  <si>
    <t xml:space="preserve">Peak demand (kW)</t>
  </si>
  <si>
    <t xml:space="preserve">Rate 580 - Residential, Home Heating</t>
  </si>
  <si>
    <t xml:space="preserve">Basic Service</t>
  </si>
  <si>
    <t xml:space="preserve">Customer Benefit Contribution</t>
  </si>
  <si>
    <t xml:space="preserve">Merchant Function Charge</t>
  </si>
  <si>
    <t xml:space="preserve">Delivery (energy)</t>
  </si>
  <si>
    <t xml:space="preserve">Delivery &amp; System subtotal</t>
  </si>
  <si>
    <t xml:space="preserve">Power Supply</t>
  </si>
  <si>
    <t xml:space="preserve">DER Charge</t>
  </si>
  <si>
    <t xml:space="preserve">Delivery Service Adjustment</t>
  </si>
  <si>
    <t xml:space="preserve">Revenue Decoupling Adjustment</t>
  </si>
  <si>
    <t xml:space="preserve">NY State Assessment</t>
  </si>
  <si>
    <t xml:space="preserve">Revenue-Based PILOTs</t>
  </si>
  <si>
    <t xml:space="preserve">Suffolk Property Tax Adj</t>
  </si>
  <si>
    <t xml:space="preserve">Sales Tax</t>
  </si>
  <si>
    <t xml:space="preserve">TOTAL CHARGES</t>
  </si>
  <si>
    <t xml:space="preserve">Rate 180 - Residential (standard)</t>
  </si>
  <si>
    <t xml:space="preserve">Rate 194 - Time-of-Day, Off-Peak</t>
  </si>
  <si>
    <t xml:space="preserve">Rate 195 - Time-of-Day, Super Off-Peak</t>
  </si>
  <si>
    <t xml:space="preserve">RATE COMPARISON - total bill ($)</t>
  </si>
  <si>
    <t xml:space="preserve">Rate plan</t>
  </si>
  <si>
    <t xml:space="preserve">Lowest-cost plan</t>
  </si>
  <si>
    <t xml:space="preserve">Date-matched estimate: each cycle uses day-weighted rates from the Rates schedule (blends rate changes &amp; seasons). Suffolk Prop Tax applies to Suffolk County only. Yellow cells on Rates = estimated/stale; refresh with --refresh while online.</t>
  </si>
  <si>
    <t xml:space="preserve">PSEG LI MONTHLY RATE SCHEDULE (source)</t>
  </si>
  <si>
    <t xml:space="preserve">Blue = inputs. 'flag' shows data provenance. Dashboard uses date-weighted blends of these per billing cycle.</t>
  </si>
  <si>
    <t xml:space="preserve">Month</t>
  </si>
  <si>
    <t xml:space="preserve">flag</t>
  </si>
  <si>
    <t xml:space="preserve">Supply PSC</t>
  </si>
  <si>
    <t xml:space="preserve">Basic/day</t>
  </si>
  <si>
    <t xml:space="preserve">DER</t>
  </si>
  <si>
    <t xml:space="preserve">MFC</t>
  </si>
  <si>
    <t xml:space="preserve">CBC</t>
  </si>
  <si>
    <t xml:space="preserve">580 t1</t>
  </si>
  <si>
    <t xml:space="preserve">580 t2</t>
  </si>
  <si>
    <t xml:space="preserve">580 exc</t>
  </si>
  <si>
    <t xml:space="preserve">180 first</t>
  </si>
  <si>
    <t xml:space="preserve">180 exc</t>
  </si>
  <si>
    <t xml:space="preserve">194 off</t>
  </si>
  <si>
    <t xml:space="preserve">194 peak</t>
  </si>
  <si>
    <t xml:space="preserve">195 so</t>
  </si>
  <si>
    <t xml:space="preserve">195 off</t>
  </si>
  <si>
    <t xml:space="preserve">195 peak</t>
  </si>
  <si>
    <t xml:space="preserve">2025-05</t>
  </si>
  <si>
    <t xml:space="preserve">stale</t>
  </si>
  <si>
    <t xml:space="preserve">2025-06</t>
  </si>
  <si>
    <t xml:space="preserve">estimate</t>
  </si>
  <si>
    <t xml:space="preserve">2025-07</t>
  </si>
  <si>
    <t xml:space="preserve">2025-08</t>
  </si>
  <si>
    <t xml:space="preserve">2025-09</t>
  </si>
  <si>
    <t xml:space="preserve">2025-10</t>
  </si>
  <si>
    <t xml:space="preserve">confirmed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</si>
  <si>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</si>
  <si>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</si>
  <si>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</si>
  <si>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</si>
  <si>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</si>
  <si>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</si>
  <si>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</si>
  <si>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EFFECTIVE RATES PER CYCLE (date-weighted from Rates schedule)</t>
  </si>
  <si>
    <t xml:space="preserve">Each value is the day-weighted average of the monthly schedule across the cycle - blends rate changes &amp; seasons.</t>
  </si>
  <si>
    <t xml:space="preserve">Parameter</t>
  </si>
  <si>
    <t xml:space="preserve">Basic service ($/day)</t>
  </si>
  <si>
    <t xml:space="preserve">DER ($/kWh)</t>
  </si>
  <si>
    <t xml:space="preserve">MFC ($/kWh)</t>
  </si>
  <si>
    <t xml:space="preserve">CBC ($/kW/day)</t>
  </si>
  <si>
    <t xml:space="preserve">Delivery Svc Adj ($/kWh)</t>
  </si>
  <si>
    <t xml:space="preserve">Rev Decoupling Adj ($/kWh)</t>
  </si>
  <si>
    <t xml:space="preserve">NY State Assmt (frac)</t>
  </si>
  <si>
    <t xml:space="preserve">PILOTs (frac)</t>
  </si>
  <si>
    <t xml:space="preserve">Suffolk Prop Tax (frac)</t>
  </si>
  <si>
    <t xml:space="preserve">Sales tax (frac)</t>
  </si>
  <si>
    <t xml:space="preserve">Supply rate ($/kWh)</t>
  </si>
  <si>
    <t xml:space="preserve">580 tier1 ($/kWh)</t>
  </si>
  <si>
    <t xml:space="preserve">580 tier2 ($/kWh)</t>
  </si>
  <si>
    <t xml:space="preserve">580 excess ($/kWh)</t>
  </si>
  <si>
    <t xml:space="preserve">180 first250 ($/kWh)</t>
  </si>
  <si>
    <t xml:space="preserve">180 excess ($/kWh)</t>
  </si>
  <si>
    <t xml:space="preserve">194 off-peak ($/kWh)</t>
  </si>
  <si>
    <t xml:space="preserve">194 peak ($/kWh)</t>
  </si>
  <si>
    <t xml:space="preserve">194 off PSC x</t>
  </si>
  <si>
    <t xml:space="preserve">194 peak PSC x</t>
  </si>
  <si>
    <t xml:space="preserve">195 super-off ($/kWh)</t>
  </si>
  <si>
    <t xml:space="preserve">195 off-peak ($/kWh)</t>
  </si>
  <si>
    <t xml:space="preserve">195 peak ($/kWh)</t>
  </si>
  <si>
    <t xml:space="preserve">195 super-off PSC x</t>
  </si>
  <si>
    <t xml:space="preserve">195 off PSC x</t>
  </si>
  <si>
    <t xml:space="preserve">195 peak PSC 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</si>
</sst>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;&quot;($&quot;#,##0.00\)"/>
    <numFmt numFmtId="167" formatCode="0.00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i val="true"/>
      <sz val="8"/>
      <color rgb="FF5F5E5A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F1EFE8"/>
      </patternFill>
    </fill>
    <fill>
      <patternFill patternType="solid">
        <fgColor rgb="FFF1EFE8"/>
        <bgColor rgb="FFE1F5EE"/>
      </patternFill>
    </fill>
    <fill>
      <patternFill patternType="solid">
        <fgColor rgb="FFFFF6CC"/>
        <bgColor rgb="FFF1EF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6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 customFormat="false" ht="15" hidden="false" customHeight="false" outlineLevel="0" collapsed="false">
      <c r="A6" s="7" t="s">
        <v>22</v>
      </c>
    </row>
    <row r="7" customFormat="false" ht="15" hidden="false" customHeight="false" outlineLevel="0" collapsed="false">
      <c r="A7" s="8" t="s">
        <v>23</v>
      </c>
      <c r="B7" s="9" t="n">
        <v>169</v>
      </c>
      <c r="C7" s="9" t="n">
        <v>31</v>
      </c>
      <c r="D7" s="9" t="n">
        <v>32</v>
      </c>
      <c r="E7" s="9" t="n">
        <v>28</v>
      </c>
      <c r="F7" s="9" t="n">
        <v>31</v>
      </c>
      <c r="G7" s="9" t="n">
        <v>31</v>
      </c>
      <c r="H7" s="9" t="n">
        <v>29</v>
      </c>
      <c r="I7" s="9" t="n">
        <v>14</v>
      </c>
      <c r="J7" s="10" t="n">
        <f aca="false">SUM(B7:I7)</f>
        <v>365</v>
      </c>
    </row>
    <row r="8" customFormat="false" ht="15" hidden="false" customHeight="false" outlineLevel="0" collapsed="false">
      <c r="A8" s="8" t="s">
        <v>24</v>
      </c>
      <c r="B8" s="9" t="n">
        <v>5265.02</v>
      </c>
      <c r="C8" s="9" t="n">
        <v>2863.91</v>
      </c>
      <c r="D8" s="9" t="n">
        <v>3667.56</v>
      </c>
      <c r="E8" s="9" t="n">
        <v>3006.94</v>
      </c>
      <c r="F8" s="9" t="n">
        <v>3219.54</v>
      </c>
      <c r="G8" s="9" t="n">
        <v>1781.77</v>
      </c>
      <c r="H8" s="9" t="n">
        <v>1119.09</v>
      </c>
      <c r="I8" s="9" t="n">
        <v>179.15</v>
      </c>
      <c r="J8" s="10" t="n">
        <f aca="false">SUM(B8:I8)</f>
        <v>21102.98</v>
      </c>
    </row>
    <row r="9" customFormat="false" ht="15" hidden="false" customHeight="false" outlineLevel="0" collapsed="false">
      <c r="A9" s="8" t="s">
        <v>25</v>
      </c>
      <c r="B9" s="9" t="n">
        <v>7652.88</v>
      </c>
      <c r="C9" s="9" t="n">
        <v>1810.86</v>
      </c>
      <c r="D9" s="9" t="n">
        <v>2263.38</v>
      </c>
      <c r="E9" s="9" t="n">
        <v>2120.78</v>
      </c>
      <c r="F9" s="9" t="n">
        <v>2698.14</v>
      </c>
      <c r="G9" s="9" t="n">
        <v>2110.47</v>
      </c>
      <c r="H9" s="9" t="n">
        <v>1783.44</v>
      </c>
      <c r="I9" s="9" t="n">
        <v>649.47</v>
      </c>
      <c r="J9" s="10" t="n">
        <f aca="false">SUM(B9:I9)</f>
        <v>21089.42</v>
      </c>
    </row>
    <row r="10" customFormat="false" ht="15" hidden="false" customHeight="false" outlineLevel="0" collapsed="false">
      <c r="A10" s="8" t="s">
        <v>26</v>
      </c>
      <c r="B10" s="9" t="n">
        <v>-1572.07</v>
      </c>
      <c r="C10" s="9" t="n">
        <v>818.33</v>
      </c>
      <c r="D10" s="9" t="n">
        <v>1078.58</v>
      </c>
      <c r="E10" s="9" t="n">
        <v>805.730000000001</v>
      </c>
      <c r="F10" s="9" t="n">
        <v>413.430000000001</v>
      </c>
      <c r="G10" s="9" t="n">
        <v>-193.88</v>
      </c>
      <c r="H10" s="9" t="n">
        <v>-448.36</v>
      </c>
      <c r="I10" s="9" t="n">
        <v>-366.12</v>
      </c>
      <c r="J10" s="10" t="n">
        <f aca="false">SUM(B10:I10)</f>
        <v>535.640000000002</v>
      </c>
    </row>
    <row r="11" customFormat="false" ht="15" hidden="false" customHeight="false" outlineLevel="0" collapsed="false">
      <c r="A11" s="8" t="s">
        <v>27</v>
      </c>
      <c r="B11" s="9" t="n">
        <v>6080.81</v>
      </c>
      <c r="C11" s="9" t="n">
        <v>2629.19</v>
      </c>
      <c r="D11" s="9" t="n">
        <v>3341.96</v>
      </c>
      <c r="E11" s="9" t="n">
        <v>2926.51</v>
      </c>
      <c r="F11" s="9" t="n">
        <v>3111.57</v>
      </c>
      <c r="G11" s="9" t="n">
        <v>1916.59</v>
      </c>
      <c r="H11" s="9" t="n">
        <v>1335.08</v>
      </c>
      <c r="I11" s="9" t="n">
        <v>283.35</v>
      </c>
      <c r="J11" s="10" t="n">
        <f aca="false">SUM(B11:I11)</f>
        <v>21625.06</v>
      </c>
    </row>
    <row r="12" customFormat="false" ht="15" hidden="false" customHeight="false" outlineLevel="0" collapsed="false">
      <c r="A12" s="8" t="s">
        <v>28</v>
      </c>
      <c r="B12" s="9" t="n">
        <v>-815.79</v>
      </c>
      <c r="C12" s="9" t="n">
        <v>234.72</v>
      </c>
      <c r="D12" s="9" t="n">
        <v>325.6</v>
      </c>
      <c r="E12" s="9" t="n">
        <v>80.43</v>
      </c>
      <c r="F12" s="9" t="n">
        <v>107.97</v>
      </c>
      <c r="G12" s="9" t="n">
        <v>-134.82</v>
      </c>
      <c r="H12" s="9" t="n">
        <v>-215.99</v>
      </c>
      <c r="I12" s="9" t="n">
        <v>-104.2</v>
      </c>
      <c r="J12" s="10" t="n">
        <f aca="false">SUM(B12:I12)</f>
        <v>-522.08</v>
      </c>
    </row>
    <row r="13" customFormat="false" ht="15" hidden="false" customHeight="false" outlineLevel="0" collapsed="false">
      <c r="A13" s="8" t="s">
        <v>29</v>
      </c>
      <c r="B13" s="9" t="n">
        <v>16</v>
      </c>
      <c r="C13" s="9" t="n">
        <v>16</v>
      </c>
      <c r="D13" s="9" t="n">
        <v>16</v>
      </c>
      <c r="E13" s="9" t="n">
        <v>16</v>
      </c>
      <c r="F13" s="9" t="n">
        <v>16</v>
      </c>
      <c r="G13" s="9" t="n">
        <v>16</v>
      </c>
      <c r="H13" s="9" t="n">
        <v>16</v>
      </c>
      <c r="I13" s="9" t="n">
        <v>16</v>
      </c>
      <c r="J13" s="10" t="n">
        <f aca="false">MAX(B13:I13)</f>
        <v>16</v>
      </c>
    </row>
    <row r="15" customFormat="false" ht="15" hidden="false" customHeight="false" outlineLevel="0" collapsed="false">
      <c r="A15" s="11" t="s">
        <v>30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A16" s="8" t="s">
        <v>31</v>
      </c>
      <c r="B16" s="13" t="n">
        <f aca="false">EffectiveRates!$B$5*B7</f>
        <v>91.26</v>
      </c>
      <c r="C16" s="13" t="n">
        <f aca="false">EffectiveRates!$C$5*C7</f>
        <v>16.74</v>
      </c>
      <c r="D16" s="13" t="n">
        <f aca="false">EffectiveRates!$D$5*D7</f>
        <v>17.6</v>
      </c>
      <c r="E16" s="13" t="n">
        <f aca="false">EffectiveRates!$E$5*E7</f>
        <v>15.68</v>
      </c>
      <c r="F16" s="13" t="n">
        <f aca="false">EffectiveRates!$F$5*F7</f>
        <v>17.36</v>
      </c>
      <c r="G16" s="13" t="n">
        <f aca="false">EffectiveRates!$G$5*G7</f>
        <v>17.36</v>
      </c>
      <c r="H16" s="13" t="n">
        <f aca="false">EffectiveRates!$H$5*H7</f>
        <v>16.24</v>
      </c>
      <c r="I16" s="13" t="n">
        <f aca="false">EffectiveRates!$I$5*I7</f>
        <v>7.84</v>
      </c>
      <c r="J16" s="14" t="n">
        <f aca="false">SUM(B16:I16)</f>
        <v>200.08</v>
      </c>
    </row>
    <row r="17" customFormat="false" ht="15" hidden="false" customHeight="false" outlineLevel="0" collapsed="false">
      <c r="A17" s="8" t="s">
        <v>32</v>
      </c>
      <c r="B17" s="13" t="n">
        <f aca="false">EffectiveRates!$B$8*B13*B7</f>
        <v>89.232</v>
      </c>
      <c r="C17" s="13" t="n">
        <f aca="false">EffectiveRates!$C$8*C13*C7</f>
        <v>16.368</v>
      </c>
      <c r="D17" s="13" t="n">
        <f aca="false">EffectiveRates!$D$8*D13*D7</f>
        <v>17.9712</v>
      </c>
      <c r="E17" s="13" t="n">
        <f aca="false">EffectiveRates!$E$8*E13*E7</f>
        <v>16.6656</v>
      </c>
      <c r="F17" s="13" t="n">
        <f aca="false">EffectiveRates!$F$8*F13*F7</f>
        <v>18.4512</v>
      </c>
      <c r="G17" s="13" t="n">
        <f aca="false">EffectiveRates!$G$8*G13*G7</f>
        <v>18.4512</v>
      </c>
      <c r="H17" s="13" t="n">
        <f aca="false">EffectiveRates!$H$8*H13*H7</f>
        <v>17.2608</v>
      </c>
      <c r="I17" s="13" t="n">
        <f aca="false">EffectiveRates!$I$8*I13*I7</f>
        <v>8.3328</v>
      </c>
      <c r="J17" s="14" t="n">
        <f aca="false">SUM(B17:I17)</f>
        <v>202.7328</v>
      </c>
    </row>
    <row r="18" customFormat="false" ht="15" hidden="false" customHeight="false" outlineLevel="0" collapsed="false">
      <c r="A18" s="8" t="s">
        <v>33</v>
      </c>
      <c r="B18" s="13" t="n">
        <f aca="false">EffectiveRates!$B$7*B8</f>
        <v>9.92982772</v>
      </c>
      <c r="C18" s="13" t="n">
        <f aca="false">EffectiveRates!$C$7*C8</f>
        <v>5.40133426</v>
      </c>
      <c r="D18" s="13" t="n">
        <f aca="false">EffectiveRates!$D$7*D8</f>
        <v>6.693297</v>
      </c>
      <c r="E18" s="13" t="n">
        <f aca="false">EffectiveRates!$E$7*E8</f>
        <v>5.30123522</v>
      </c>
      <c r="F18" s="13" t="n">
        <f aca="false">EffectiveRates!$F$7*F8</f>
        <v>5.67604902</v>
      </c>
      <c r="G18" s="13" t="n">
        <f aca="false">EffectiveRates!$G$7*G8</f>
        <v>3.14126051</v>
      </c>
      <c r="H18" s="13" t="n">
        <f aca="false">EffectiveRates!$H$7*H8</f>
        <v>1.97295567</v>
      </c>
      <c r="I18" s="13" t="n">
        <f aca="false">EffectiveRates!$I$7*I8</f>
        <v>0.31584145</v>
      </c>
      <c r="J18" s="14" t="n">
        <f aca="false">SUM(B18:I18)</f>
        <v>38.43180085</v>
      </c>
    </row>
    <row r="19" customFormat="false" ht="15" hidden="false" customHeight="false" outlineLevel="0" collapsed="false">
      <c r="A19" s="8" t="s">
        <v>34</v>
      </c>
      <c r="B19" s="13" t="n">
        <f aca="false">MIN(B8,(250*B7/30))*EffectiveRates!$B$16+MIN(MAX(B8-(250*B7/30),0),(150*B7/30))*EffectiveRates!$B$17+MAX(B8-(250*B7/30)-(150*B7/30),0)*EffectiveRates!$B$18</f>
        <v>594.442446593333</v>
      </c>
      <c r="C19" s="13" t="n">
        <f aca="false">MIN(C8,(250*C7/30))*EffectiveRates!$C$16+MIN(MAX(C8-(250*C7/30),0),(150*C7/30))*EffectiveRates!$C$17+MAX(C8-(250*C7/30)-(150*C7/30),0)*EffectiveRates!$C$18</f>
        <v>179.678684333333</v>
      </c>
      <c r="D19" s="13" t="n">
        <f aca="false">MIN(D8,(250*D7/30))*EffectiveRates!$D$16+MIN(MAX(D8-(250*D7/30),0),(150*D7/30))*EffectiveRates!$D$17+MAX(D8-(250*D7/30)-(150*D7/30),0)*EffectiveRates!$D$18</f>
        <v>230.183188</v>
      </c>
      <c r="E19" s="13" t="n">
        <f aca="false">MIN(E8,(250*E7/30))*EffectiveRates!$E$16+MIN(MAX(E8-(250*E7/30),0),(150*E7/30))*EffectiveRates!$E$17+MAX(E8-(250*E7/30)-(150*E7/30),0)*EffectiveRates!$E$18</f>
        <v>193.788656666667</v>
      </c>
      <c r="F19" s="13" t="n">
        <f aca="false">MIN(F8,(250*F7/30))*EffectiveRates!$F$16+MIN(MAX(F8-(250*F7/30),0),(150*F7/30))*EffectiveRates!$F$17+MAX(F8-(250*F7/30)-(150*F7/30),0)*EffectiveRates!$F$18</f>
        <v>208.141756666667</v>
      </c>
      <c r="G19" s="13" t="n">
        <f aca="false">MIN(G8,(250*G7/30))*EffectiveRates!$G$16+MIN(MAX(G8-(250*G7/30),0),(150*G7/30))*EffectiveRates!$G$17+MAX(G8-(250*G7/30)-(150*G7/30),0)*EffectiveRates!$G$18</f>
        <v>124.032211666667</v>
      </c>
      <c r="H19" s="13" t="n">
        <f aca="false">MIN(H8,(250*H7/30))*EffectiveRates!$H$16+MIN(MAX(H8-(250*H7/30),0),(150*H7/30))*EffectiveRates!$H$17+MAX(H8-(250*H7/30)-(150*H7/30),0)*EffectiveRates!$H$18</f>
        <v>83.9880983333333</v>
      </c>
      <c r="I19" s="13" t="n">
        <f aca="false">MIN(I8,(250*I7/30))*EffectiveRates!$I$16+MIN(MAX(I8-(250*I7/30),0),(150*I7/30))*EffectiveRates!$I$17+MAX(I8-(250*I7/30)-(150*I7/30),0)*EffectiveRates!$I$18</f>
        <v>19.06156</v>
      </c>
      <c r="J19" s="14" t="n">
        <f aca="false">SUM(B19:I19)</f>
        <v>1633.31660226</v>
      </c>
    </row>
    <row r="20" customFormat="false" ht="15" hidden="false" customHeight="false" outlineLevel="0" collapsed="false">
      <c r="A20" s="15" t="s">
        <v>35</v>
      </c>
      <c r="B20" s="16" t="n">
        <f aca="false">B16+B17+B18+B19</f>
        <v>784.864274313334</v>
      </c>
      <c r="C20" s="16" t="n">
        <f aca="false">C16+C17+C18+C19</f>
        <v>218.188018593333</v>
      </c>
      <c r="D20" s="16" t="n">
        <f aca="false">D16+D17+D18+D19</f>
        <v>272.447685</v>
      </c>
      <c r="E20" s="16" t="n">
        <f aca="false">E16+E17+E18+E19</f>
        <v>231.435491886667</v>
      </c>
      <c r="F20" s="16" t="n">
        <f aca="false">F16+F17+F18+F19</f>
        <v>249.629005686667</v>
      </c>
      <c r="G20" s="16" t="n">
        <f aca="false">G16+G17+G18+G19</f>
        <v>162.984672176667</v>
      </c>
      <c r="H20" s="16" t="n">
        <f aca="false">H16+H17+H18+H19</f>
        <v>119.461854003333</v>
      </c>
      <c r="I20" s="16" t="n">
        <f aca="false">I16+I17+I18+I19</f>
        <v>35.55020145</v>
      </c>
      <c r="J20" s="17" t="n">
        <f aca="false">SUM(B20:I20)</f>
        <v>2074.56120311</v>
      </c>
    </row>
    <row r="21" customFormat="false" ht="15" hidden="false" customHeight="false" outlineLevel="0" collapsed="false">
      <c r="A21" s="8" t="s">
        <v>36</v>
      </c>
      <c r="B21" s="13" t="n">
        <f aca="false">B8*EffectiveRates!$B$15</f>
        <v>669.64209874</v>
      </c>
      <c r="C21" s="13" t="n">
        <f aca="false">C8*EffectiveRates!$C$15</f>
        <v>362.86312482</v>
      </c>
      <c r="D21" s="13" t="n">
        <f aca="false">D8*EffectiveRates!$D$15</f>
        <v>468.16770156</v>
      </c>
      <c r="E21" s="13" t="n">
        <f aca="false">E8*EffectiveRates!$E$15</f>
        <v>414.20297806</v>
      </c>
      <c r="F21" s="13" t="n">
        <f aca="false">F8*EffectiveRates!$F$15</f>
        <v>504.20893986</v>
      </c>
      <c r="G21" s="13" t="n">
        <f aca="false">G8*EffectiveRates!$G$15</f>
        <v>295.41924777</v>
      </c>
      <c r="H21" s="13" t="n">
        <f aca="false">H8*EffectiveRates!$H$15</f>
        <v>182.36131095</v>
      </c>
      <c r="I21" s="13" t="n">
        <f aca="false">I8*EffectiveRates!$I$15</f>
        <v>28.6966053</v>
      </c>
      <c r="J21" s="14" t="n">
        <f aca="false">SUM(B21:I21)</f>
        <v>2925.56200706</v>
      </c>
    </row>
    <row r="22" customFormat="false" ht="15" hidden="false" customHeight="false" outlineLevel="0" collapsed="false">
      <c r="A22" s="8" t="s">
        <v>37</v>
      </c>
      <c r="B22" s="13" t="n">
        <f aca="false">EffectiveRates!$B$6*B8</f>
        <v>29.24192108</v>
      </c>
      <c r="C22" s="13" t="n">
        <f aca="false">EffectiveRates!$C$6*C8</f>
        <v>15.90615614</v>
      </c>
      <c r="D22" s="13" t="n">
        <f aca="false">EffectiveRates!$D$6*D8</f>
        <v>21.21316704</v>
      </c>
      <c r="E22" s="13" t="n">
        <f aca="false">EffectiveRates!$E$6*E8</f>
        <v>18.08373716</v>
      </c>
      <c r="F22" s="13" t="n">
        <f aca="false">EffectiveRates!$F$6*F8</f>
        <v>19.36231356</v>
      </c>
      <c r="G22" s="13" t="n">
        <f aca="false">EffectiveRates!$G$6*G8</f>
        <v>10.71556478</v>
      </c>
      <c r="H22" s="13" t="n">
        <f aca="false">EffectiveRates!$H$6*H8</f>
        <v>6.73020726</v>
      </c>
      <c r="I22" s="13" t="n">
        <f aca="false">EffectiveRates!$I$6*I8</f>
        <v>1.0774081</v>
      </c>
      <c r="J22" s="14" t="n">
        <f aca="false">SUM(B22:I22)</f>
        <v>122.33047512</v>
      </c>
    </row>
    <row r="23" customFormat="false" ht="15" hidden="false" customHeight="false" outlineLevel="0" collapsed="false">
      <c r="A23" s="8" t="s">
        <v>38</v>
      </c>
      <c r="B23" s="13" t="n">
        <f aca="false">EffectiveRates!$B$9*B8</f>
        <v>-3.159012</v>
      </c>
      <c r="C23" s="13" t="n">
        <f aca="false">EffectiveRates!$C$9*C8</f>
        <v>-1.718346</v>
      </c>
      <c r="D23" s="13" t="n">
        <f aca="false">EffectiveRates!$D$9*D8</f>
        <v>-2.200536</v>
      </c>
      <c r="E23" s="13" t="n">
        <f aca="false">EffectiveRates!$E$9*E8</f>
        <v>-1.804164</v>
      </c>
      <c r="F23" s="13" t="n">
        <f aca="false">EffectiveRates!$F$9*F8</f>
        <v>-1.931724</v>
      </c>
      <c r="G23" s="13" t="n">
        <f aca="false">EffectiveRates!$G$9*G8</f>
        <v>-1.069062</v>
      </c>
      <c r="H23" s="13" t="n">
        <f aca="false">EffectiveRates!$H$9*H8</f>
        <v>-0.671454</v>
      </c>
      <c r="I23" s="13" t="n">
        <f aca="false">EffectiveRates!$I$9*I8</f>
        <v>-0.10749</v>
      </c>
      <c r="J23" s="14" t="n">
        <f aca="false">SUM(B23:I23)</f>
        <v>-12.661788</v>
      </c>
    </row>
    <row r="24" customFormat="false" ht="15" hidden="false" customHeight="false" outlineLevel="0" collapsed="false">
      <c r="A24" s="8" t="s">
        <v>39</v>
      </c>
      <c r="B24" s="13" t="n">
        <f aca="false">EffectiveRates!$B$10*B8</f>
        <v>-1.579506</v>
      </c>
      <c r="C24" s="13" t="n">
        <f aca="false">EffectiveRates!$C$10*C8</f>
        <v>-0.859173</v>
      </c>
      <c r="D24" s="13" t="n">
        <f aca="false">EffectiveRates!$D$10*D8</f>
        <v>-1.100268</v>
      </c>
      <c r="E24" s="13" t="n">
        <f aca="false">EffectiveRates!$E$10*E8</f>
        <v>-0.902082</v>
      </c>
      <c r="F24" s="13" t="n">
        <f aca="false">EffectiveRates!$F$10*F8</f>
        <v>-0.965862</v>
      </c>
      <c r="G24" s="13" t="n">
        <f aca="false">EffectiveRates!$G$10*G8</f>
        <v>-0.534531</v>
      </c>
      <c r="H24" s="13" t="n">
        <f aca="false">EffectiveRates!$H$10*H8</f>
        <v>-0.335727</v>
      </c>
      <c r="I24" s="13" t="n">
        <f aca="false">EffectiveRates!$I$10*I8</f>
        <v>-0.053745</v>
      </c>
      <c r="J24" s="14" t="n">
        <f aca="false">SUM(B24:I24)</f>
        <v>-6.330894</v>
      </c>
    </row>
    <row r="25" customFormat="false" ht="15" hidden="false" customHeight="false" outlineLevel="0" collapsed="false">
      <c r="A25" s="8" t="s">
        <v>40</v>
      </c>
      <c r="B25" s="13" t="n">
        <f aca="false">EffectiveRates!$B$11*(B20+B21)</f>
        <v>3.927167207244</v>
      </c>
      <c r="C25" s="13" t="n">
        <f aca="false">EffectiveRates!$C$11*(C20+C21)</f>
        <v>1.568838087216</v>
      </c>
      <c r="D25" s="13" t="n">
        <f aca="false">EffectiveRates!$D$11*(D20+D21)</f>
        <v>1.999661543712</v>
      </c>
      <c r="E25" s="13" t="n">
        <f aca="false">EffectiveRates!$E$11*(E20+E21)</f>
        <v>1.743223868856</v>
      </c>
      <c r="F25" s="13" t="n">
        <f aca="false">EffectiveRates!$F$11*(F20+F21)</f>
        <v>2.035362452976</v>
      </c>
      <c r="G25" s="13" t="n">
        <f aca="false">EffectiveRates!$G$11*(G20+G21)</f>
        <v>1.237690583856</v>
      </c>
      <c r="H25" s="13" t="n">
        <f aca="false">EffectiveRates!$H$11*(H20+H21)</f>
        <v>0.814922545374</v>
      </c>
      <c r="I25" s="13" t="n">
        <f aca="false">EffectiveRates!$I$11*(I20+I21)</f>
        <v>0.173466378225</v>
      </c>
      <c r="J25" s="14" t="n">
        <f aca="false">SUM(B25:I25)</f>
        <v>13.500332667459</v>
      </c>
    </row>
    <row r="26" customFormat="false" ht="15" hidden="false" customHeight="false" outlineLevel="0" collapsed="false">
      <c r="A26" s="8" t="s">
        <v>41</v>
      </c>
      <c r="B26" s="13" t="n">
        <f aca="false">EffectiveRates!$B$12*(B20+B21)</f>
        <v>31.2718870206467</v>
      </c>
      <c r="C26" s="13" t="n">
        <f aca="false">EffectiveRates!$C$12*(C20+C21)</f>
        <v>12.4925995833867</v>
      </c>
      <c r="D26" s="13" t="n">
        <f aca="false">EffectiveRates!$D$12*(D20+D21)</f>
        <v>15.92323081104</v>
      </c>
      <c r="E26" s="13" t="n">
        <f aca="false">EffectiveRates!$E$12*(E20+E21)</f>
        <v>13.8812271038533</v>
      </c>
      <c r="F26" s="13" t="n">
        <f aca="false">EffectiveRates!$F$12*(F20+F21)</f>
        <v>16.2075158292533</v>
      </c>
      <c r="G26" s="13" t="n">
        <f aca="false">EffectiveRates!$G$12*(G20+G21)</f>
        <v>9.85568427885333</v>
      </c>
      <c r="H26" s="13" t="n">
        <f aca="false">EffectiveRates!$H$12*(H20+H21)</f>
        <v>6.48919804649667</v>
      </c>
      <c r="I26" s="13" t="n">
        <f aca="false">EffectiveRates!$I$12*(I20+I21)</f>
        <v>1.381306345125</v>
      </c>
      <c r="J26" s="14" t="n">
        <f aca="false">SUM(B26:I26)</f>
        <v>107.502649018655</v>
      </c>
    </row>
    <row r="27" customFormat="false" ht="15" hidden="false" customHeight="false" outlineLevel="0" collapsed="false">
      <c r="A27" s="8" t="s">
        <v>42</v>
      </c>
      <c r="B27" s="13" t="n">
        <f aca="false">EffectiveRates!$B$13*(B20+B21)</f>
        <v>33.599097217532</v>
      </c>
      <c r="C27" s="13" t="n">
        <f aca="false">EffectiveRates!$C$13*(C20+C21)</f>
        <v>13.422281412848</v>
      </c>
      <c r="D27" s="13" t="n">
        <f aca="false">EffectiveRates!$D$13*(D20+D21)</f>
        <v>17.108215429536</v>
      </c>
      <c r="E27" s="13" t="n">
        <f aca="false">EffectiveRates!$E$13*(E20+E21)</f>
        <v>14.914248655768</v>
      </c>
      <c r="F27" s="13" t="n">
        <f aca="false">EffectiveRates!$F$13*(F20+F21)</f>
        <v>17.413656542128</v>
      </c>
      <c r="G27" s="13" t="n">
        <f aca="false">EffectiveRates!$G$13*(G20+G21)</f>
        <v>10.589130550768</v>
      </c>
      <c r="H27" s="13" t="n">
        <f aca="false">EffectiveRates!$H$13*(H20+H21)</f>
        <v>6.972115110422</v>
      </c>
      <c r="I27" s="13" t="n">
        <f aca="false">EffectiveRates!$I$13*(I20+I21)</f>
        <v>1.484101235925</v>
      </c>
      <c r="J27" s="14" t="n">
        <f aca="false">SUM(B27:I27)</f>
        <v>115.502846154927</v>
      </c>
    </row>
    <row r="28" customFormat="false" ht="15" hidden="false" customHeight="false" outlineLevel="0" collapsed="false">
      <c r="A28" s="8" t="s">
        <v>43</v>
      </c>
      <c r="B28" s="13" t="n">
        <f aca="false">EffectiveRates!$B$14*(B20+B21+B22+B23+B24+B25+B26+B27)</f>
        <v>38.6951981894689</v>
      </c>
      <c r="C28" s="13" t="n">
        <f aca="false">EffectiveRates!$C$14*(C20+C21+C22+C23+C24+C25+C26+C27)</f>
        <v>15.5465874909196</v>
      </c>
      <c r="D28" s="13" t="n">
        <f aca="false">EffectiveRates!$D$14*(D20+D21+D22+D23+D24+D25+D26+D27)</f>
        <v>19.8389714346072</v>
      </c>
      <c r="E28" s="13" t="n">
        <f aca="false">EffectiveRates!$E$14*(E20+E21+E22+E23+E24+E25+E26+E27)</f>
        <v>17.2888665183786</v>
      </c>
      <c r="F28" s="13" t="n">
        <f aca="false">EffectiveRates!$F$14*(F20+F21+F22+F23+F24+F25+F26+F27)</f>
        <v>20.1489801982756</v>
      </c>
      <c r="G28" s="13" t="n">
        <f aca="false">EffectiveRates!$G$14*(G20+G21+G22+G23+G24+G25+G26+G27)</f>
        <v>12.2299599285036</v>
      </c>
      <c r="H28" s="13" t="n">
        <f aca="false">EffectiveRates!$H$14*(H20+H21+H22+H23+H24+H25+H26+H27)</f>
        <v>8.04556067289065</v>
      </c>
      <c r="I28" s="13" t="n">
        <f aca="false">EffectiveRates!$I$14*(I20+I21+I22+I23+I24+I25+I26+I27)</f>
        <v>1.70504634523188</v>
      </c>
      <c r="J28" s="14" t="n">
        <f aca="false">SUM(B28:I28)</f>
        <v>133.499170778276</v>
      </c>
    </row>
    <row r="29" customFormat="false" ht="15" hidden="false" customHeight="false" outlineLevel="0" collapsed="false">
      <c r="A29" s="18" t="s">
        <v>44</v>
      </c>
      <c r="B29" s="19" t="n">
        <f aca="false">(B20+B21+B22+B23+B24+B25+B26+B27)+B28</f>
        <v>1586.50312576823</v>
      </c>
      <c r="C29" s="19" t="n">
        <f aca="false">(C20+C21+C22+C23+C24+C25+C26+C27)+C28</f>
        <v>637.410087127704</v>
      </c>
      <c r="D29" s="19" t="n">
        <f aca="false">(D20+D21+D22+D23+D24+D25+D26+D27)+D28</f>
        <v>813.397828818895</v>
      </c>
      <c r="E29" s="19" t="n">
        <f aca="false">(E20+E21+E22+E23+E24+E25+E26+E27)+E28</f>
        <v>708.843527253523</v>
      </c>
      <c r="F29" s="19" t="n">
        <f aca="false">(F20+F21+F22+F23+F24+F25+F26+F27)+F28</f>
        <v>826.1081881293</v>
      </c>
      <c r="G29" s="19" t="n">
        <f aca="false">(G20+G21+G22+G23+G24+G25+G26+G27)+G28</f>
        <v>501.428357068648</v>
      </c>
      <c r="H29" s="19" t="n">
        <f aca="false">(H20+H21+H22+H23+H24+H25+H26+H27)+H28</f>
        <v>329.867987588517</v>
      </c>
      <c r="I29" s="19" t="n">
        <f aca="false">(I20+I21+I22+I23+I24+I25+I26+I27)+I28</f>
        <v>69.9069001545069</v>
      </c>
      <c r="J29" s="20" t="n">
        <f aca="false">SUM(B29:I29)</f>
        <v>5473.46600190932</v>
      </c>
    </row>
    <row r="31" customFormat="false" ht="15" hidden="false" customHeight="false" outlineLevel="0" collapsed="false">
      <c r="A31" s="11" t="s">
        <v>45</v>
      </c>
      <c r="B31" s="12"/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false" outlineLevel="0" collapsed="false">
      <c r="A32" s="8" t="s">
        <v>31</v>
      </c>
      <c r="B32" s="13" t="n">
        <f aca="false">EffectiveRates!$B$5*B7</f>
        <v>91.26</v>
      </c>
      <c r="C32" s="13" t="n">
        <f aca="false">EffectiveRates!$C$5*C7</f>
        <v>16.74</v>
      </c>
      <c r="D32" s="13" t="n">
        <f aca="false">EffectiveRates!$D$5*D7</f>
        <v>17.6</v>
      </c>
      <c r="E32" s="13" t="n">
        <f aca="false">EffectiveRates!$E$5*E7</f>
        <v>15.68</v>
      </c>
      <c r="F32" s="13" t="n">
        <f aca="false">EffectiveRates!$F$5*F7</f>
        <v>17.36</v>
      </c>
      <c r="G32" s="13" t="n">
        <f aca="false">EffectiveRates!$G$5*G7</f>
        <v>17.36</v>
      </c>
      <c r="H32" s="13" t="n">
        <f aca="false">EffectiveRates!$H$5*H7</f>
        <v>16.24</v>
      </c>
      <c r="I32" s="13" t="n">
        <f aca="false">EffectiveRates!$I$5*I7</f>
        <v>7.84</v>
      </c>
      <c r="J32" s="14" t="n">
        <f aca="false">SUM(B32:I32)</f>
        <v>200.08</v>
      </c>
    </row>
    <row r="33" customFormat="false" ht="15" hidden="false" customHeight="false" outlineLevel="0" collapsed="false">
      <c r="A33" s="8" t="s">
        <v>32</v>
      </c>
      <c r="B33" s="13" t="n">
        <f aca="false">EffectiveRates!$B$8*B13*B7</f>
        <v>89.232</v>
      </c>
      <c r="C33" s="13" t="n">
        <f aca="false">EffectiveRates!$C$8*C13*C7</f>
        <v>16.368</v>
      </c>
      <c r="D33" s="13" t="n">
        <f aca="false">EffectiveRates!$D$8*D13*D7</f>
        <v>17.9712</v>
      </c>
      <c r="E33" s="13" t="n">
        <f aca="false">EffectiveRates!$E$8*E13*E7</f>
        <v>16.6656</v>
      </c>
      <c r="F33" s="13" t="n">
        <f aca="false">EffectiveRates!$F$8*F13*F7</f>
        <v>18.4512</v>
      </c>
      <c r="G33" s="13" t="n">
        <f aca="false">EffectiveRates!$G$8*G13*G7</f>
        <v>18.4512</v>
      </c>
      <c r="H33" s="13" t="n">
        <f aca="false">EffectiveRates!$H$8*H13*H7</f>
        <v>17.2608</v>
      </c>
      <c r="I33" s="13" t="n">
        <f aca="false">EffectiveRates!$I$8*I13*I7</f>
        <v>8.3328</v>
      </c>
      <c r="J33" s="14" t="n">
        <f aca="false">SUM(B33:I33)</f>
        <v>202.7328</v>
      </c>
    </row>
    <row r="34" customFormat="false" ht="15" hidden="false" customHeight="false" outlineLevel="0" collapsed="false">
      <c r="A34" s="8" t="s">
        <v>33</v>
      </c>
      <c r="B34" s="13" t="n">
        <f aca="false">EffectiveRates!$B$7*B8</f>
        <v>9.92982772</v>
      </c>
      <c r="C34" s="13" t="n">
        <f aca="false">EffectiveRates!$C$7*C8</f>
        <v>5.40133426</v>
      </c>
      <c r="D34" s="13" t="n">
        <f aca="false">EffectiveRates!$D$7*D8</f>
        <v>6.693297</v>
      </c>
      <c r="E34" s="13" t="n">
        <f aca="false">EffectiveRates!$E$7*E8</f>
        <v>5.30123522</v>
      </c>
      <c r="F34" s="13" t="n">
        <f aca="false">EffectiveRates!$F$7*F8</f>
        <v>5.67604902</v>
      </c>
      <c r="G34" s="13" t="n">
        <f aca="false">EffectiveRates!$G$7*G8</f>
        <v>3.14126051</v>
      </c>
      <c r="H34" s="13" t="n">
        <f aca="false">EffectiveRates!$H$7*H8</f>
        <v>1.97295567</v>
      </c>
      <c r="I34" s="13" t="n">
        <f aca="false">EffectiveRates!$I$7*I8</f>
        <v>0.31584145</v>
      </c>
      <c r="J34" s="14" t="n">
        <f aca="false">SUM(B34:I34)</f>
        <v>38.43180085</v>
      </c>
    </row>
    <row r="35" customFormat="false" ht="15" hidden="false" customHeight="false" outlineLevel="0" collapsed="false">
      <c r="A35" s="8" t="s">
        <v>34</v>
      </c>
      <c r="B35" s="13" t="n">
        <f aca="false">MIN(B8,(250*B7/30))*EffectiveRates!$B$19+MAX(B8-(250*B7/30),0)*EffectiveRates!$B$20</f>
        <v>632.97095412</v>
      </c>
      <c r="C35" s="13" t="n">
        <f aca="false">MIN(C8,(250*C7/30))*EffectiveRates!$C$19+MAX(C8-(250*C7/30),0)*EffectiveRates!$C$20</f>
        <v>292.405211</v>
      </c>
      <c r="D35" s="13" t="n">
        <f aca="false">MIN(D8,(250*D7/30))*EffectiveRates!$D$19+MAX(D8-(250*D7/30),0)*EffectiveRates!$D$20</f>
        <v>382.34313</v>
      </c>
      <c r="E35" s="13" t="n">
        <f aca="false">MIN(E8,(250*E7/30))*EffectiveRates!$E$19+MAX(E8-(250*E7/30),0)*EffectiveRates!$E$20</f>
        <v>319.938416</v>
      </c>
      <c r="F35" s="13" t="n">
        <f aca="false">MIN(F8,(250*F7/30))*EffectiveRates!$F$19+MAX(F8-(250*F7/30),0)*EffectiveRates!$F$20</f>
        <v>342.559056</v>
      </c>
      <c r="G35" s="13" t="n">
        <f aca="false">MIN(G8,(250*G7/30))*EffectiveRates!$G$19+MAX(G8-(250*G7/30),0)*EffectiveRates!$G$20</f>
        <v>189.580328</v>
      </c>
      <c r="H35" s="13" t="n">
        <f aca="false">MIN(H8,(250*H7/30))*EffectiveRates!$H$19+MAX(H8-(250*H7/30),0)*EffectiveRates!$H$20</f>
        <v>119.071176</v>
      </c>
      <c r="I35" s="13" t="n">
        <f aca="false">MIN(I8,(250*I7/30))*EffectiveRates!$I$19+MAX(I8-(250*I7/30),0)*EffectiveRates!$I$20</f>
        <v>19.06156</v>
      </c>
      <c r="J35" s="14" t="n">
        <f aca="false">SUM(B35:I35)</f>
        <v>2297.92983112</v>
      </c>
    </row>
    <row r="36" customFormat="false" ht="15" hidden="false" customHeight="false" outlineLevel="0" collapsed="false">
      <c r="A36" s="15" t="s">
        <v>35</v>
      </c>
      <c r="B36" s="16" t="n">
        <f aca="false">B32+B33+B34+B35</f>
        <v>823.39278184</v>
      </c>
      <c r="C36" s="16" t="n">
        <f aca="false">C32+C33+C34+C35</f>
        <v>330.91454526</v>
      </c>
      <c r="D36" s="16" t="n">
        <f aca="false">D32+D33+D34+D35</f>
        <v>424.607627</v>
      </c>
      <c r="E36" s="16" t="n">
        <f aca="false">E32+E33+E34+E35</f>
        <v>357.58525122</v>
      </c>
      <c r="F36" s="16" t="n">
        <f aca="false">F32+F33+F34+F35</f>
        <v>384.04630502</v>
      </c>
      <c r="G36" s="16" t="n">
        <f aca="false">G32+G33+G34+G35</f>
        <v>228.53278851</v>
      </c>
      <c r="H36" s="16" t="n">
        <f aca="false">H32+H33+H34+H35</f>
        <v>154.54493167</v>
      </c>
      <c r="I36" s="16" t="n">
        <f aca="false">I32+I33+I34+I35</f>
        <v>35.55020145</v>
      </c>
      <c r="J36" s="17" t="n">
        <f aca="false">SUM(B36:I36)</f>
        <v>2739.17443197</v>
      </c>
    </row>
    <row r="37" customFormat="false" ht="15" hidden="false" customHeight="false" outlineLevel="0" collapsed="false">
      <c r="A37" s="8" t="s">
        <v>36</v>
      </c>
      <c r="B37" s="13" t="n">
        <f aca="false">B8*EffectiveRates!$B$15</f>
        <v>669.64209874</v>
      </c>
      <c r="C37" s="13" t="n">
        <f aca="false">C8*EffectiveRates!$C$15</f>
        <v>362.86312482</v>
      </c>
      <c r="D37" s="13" t="n">
        <f aca="false">D8*EffectiveRates!$D$15</f>
        <v>468.16770156</v>
      </c>
      <c r="E37" s="13" t="n">
        <f aca="false">E8*EffectiveRates!$E$15</f>
        <v>414.20297806</v>
      </c>
      <c r="F37" s="13" t="n">
        <f aca="false">F8*EffectiveRates!$F$15</f>
        <v>504.20893986</v>
      </c>
      <c r="G37" s="13" t="n">
        <f aca="false">G8*EffectiveRates!$G$15</f>
        <v>295.41924777</v>
      </c>
      <c r="H37" s="13" t="n">
        <f aca="false">H8*EffectiveRates!$H$15</f>
        <v>182.36131095</v>
      </c>
      <c r="I37" s="13" t="n">
        <f aca="false">I8*EffectiveRates!$I$15</f>
        <v>28.6966053</v>
      </c>
      <c r="J37" s="14" t="n">
        <f aca="false">SUM(B37:I37)</f>
        <v>2925.56200706</v>
      </c>
    </row>
    <row r="38" customFormat="false" ht="15" hidden="false" customHeight="false" outlineLevel="0" collapsed="false">
      <c r="A38" s="8" t="s">
        <v>37</v>
      </c>
      <c r="B38" s="13" t="n">
        <f aca="false">EffectiveRates!$B$6*B8</f>
        <v>29.24192108</v>
      </c>
      <c r="C38" s="13" t="n">
        <f aca="false">EffectiveRates!$C$6*C8</f>
        <v>15.90615614</v>
      </c>
      <c r="D38" s="13" t="n">
        <f aca="false">EffectiveRates!$D$6*D8</f>
        <v>21.21316704</v>
      </c>
      <c r="E38" s="13" t="n">
        <f aca="false">EffectiveRates!$E$6*E8</f>
        <v>18.08373716</v>
      </c>
      <c r="F38" s="13" t="n">
        <f aca="false">EffectiveRates!$F$6*F8</f>
        <v>19.36231356</v>
      </c>
      <c r="G38" s="13" t="n">
        <f aca="false">EffectiveRates!$G$6*G8</f>
        <v>10.71556478</v>
      </c>
      <c r="H38" s="13" t="n">
        <f aca="false">EffectiveRates!$H$6*H8</f>
        <v>6.73020726</v>
      </c>
      <c r="I38" s="13" t="n">
        <f aca="false">EffectiveRates!$I$6*I8</f>
        <v>1.0774081</v>
      </c>
      <c r="J38" s="14" t="n">
        <f aca="false">SUM(B38:I38)</f>
        <v>122.33047512</v>
      </c>
    </row>
    <row r="39" customFormat="false" ht="15" hidden="false" customHeight="false" outlineLevel="0" collapsed="false">
      <c r="A39" s="8" t="s">
        <v>38</v>
      </c>
      <c r="B39" s="13" t="n">
        <f aca="false">EffectiveRates!$B$9*B8</f>
        <v>-3.159012</v>
      </c>
      <c r="C39" s="13" t="n">
        <f aca="false">EffectiveRates!$C$9*C8</f>
        <v>-1.718346</v>
      </c>
      <c r="D39" s="13" t="n">
        <f aca="false">EffectiveRates!$D$9*D8</f>
        <v>-2.200536</v>
      </c>
      <c r="E39" s="13" t="n">
        <f aca="false">EffectiveRates!$E$9*E8</f>
        <v>-1.804164</v>
      </c>
      <c r="F39" s="13" t="n">
        <f aca="false">EffectiveRates!$F$9*F8</f>
        <v>-1.931724</v>
      </c>
      <c r="G39" s="13" t="n">
        <f aca="false">EffectiveRates!$G$9*G8</f>
        <v>-1.069062</v>
      </c>
      <c r="H39" s="13" t="n">
        <f aca="false">EffectiveRates!$H$9*H8</f>
        <v>-0.671454</v>
      </c>
      <c r="I39" s="13" t="n">
        <f aca="false">EffectiveRates!$I$9*I8</f>
        <v>-0.10749</v>
      </c>
      <c r="J39" s="14" t="n">
        <f aca="false">SUM(B39:I39)</f>
        <v>-12.661788</v>
      </c>
    </row>
    <row r="40" customFormat="false" ht="15" hidden="false" customHeight="false" outlineLevel="0" collapsed="false">
      <c r="A40" s="8" t="s">
        <v>39</v>
      </c>
      <c r="B40" s="13" t="n">
        <f aca="false">EffectiveRates!$B$10*B8</f>
        <v>-1.579506</v>
      </c>
      <c r="C40" s="13" t="n">
        <f aca="false">EffectiveRates!$C$10*C8</f>
        <v>-0.859173</v>
      </c>
      <c r="D40" s="13" t="n">
        <f aca="false">EffectiveRates!$D$10*D8</f>
        <v>-1.100268</v>
      </c>
      <c r="E40" s="13" t="n">
        <f aca="false">EffectiveRates!$E$10*E8</f>
        <v>-0.902082</v>
      </c>
      <c r="F40" s="13" t="n">
        <f aca="false">EffectiveRates!$F$10*F8</f>
        <v>-0.965862</v>
      </c>
      <c r="G40" s="13" t="n">
        <f aca="false">EffectiveRates!$G$10*G8</f>
        <v>-0.534531</v>
      </c>
      <c r="H40" s="13" t="n">
        <f aca="false">EffectiveRates!$H$10*H8</f>
        <v>-0.335727</v>
      </c>
      <c r="I40" s="13" t="n">
        <f aca="false">EffectiveRates!$I$10*I8</f>
        <v>-0.053745</v>
      </c>
      <c r="J40" s="14" t="n">
        <f aca="false">SUM(B40:I40)</f>
        <v>-6.330894</v>
      </c>
    </row>
    <row r="41" customFormat="false" ht="15" hidden="false" customHeight="false" outlineLevel="0" collapsed="false">
      <c r="A41" s="8" t="s">
        <v>40</v>
      </c>
      <c r="B41" s="13" t="n">
        <f aca="false">EffectiveRates!$B$11*(B36+B37)</f>
        <v>4.031194177566</v>
      </c>
      <c r="C41" s="13" t="n">
        <f aca="false">EffectiveRates!$C$11*(C36+C37)</f>
        <v>1.873199709216</v>
      </c>
      <c r="D41" s="13" t="n">
        <f aca="false">EffectiveRates!$D$11*(D36+D37)</f>
        <v>2.410493387112</v>
      </c>
      <c r="E41" s="13" t="n">
        <f aca="false">EffectiveRates!$E$11*(E36+E37)</f>
        <v>2.083828219056</v>
      </c>
      <c r="F41" s="13" t="n">
        <f aca="false">EffectiveRates!$F$11*(F36+F37)</f>
        <v>2.398289161176</v>
      </c>
      <c r="G41" s="13" t="n">
        <f aca="false">EffectiveRates!$G$11*(G36+G37)</f>
        <v>1.414670497956</v>
      </c>
      <c r="H41" s="13" t="n">
        <f aca="false">EffectiveRates!$H$11*(H36+H37)</f>
        <v>0.909646855074</v>
      </c>
      <c r="I41" s="13" t="n">
        <f aca="false">EffectiveRates!$I$11*(I36+I37)</f>
        <v>0.173466378225</v>
      </c>
      <c r="J41" s="14" t="n">
        <f aca="false">SUM(B41:I41)</f>
        <v>15.294788385381</v>
      </c>
    </row>
    <row r="42" customFormat="false" ht="15" hidden="false" customHeight="false" outlineLevel="0" collapsed="false">
      <c r="A42" s="8" t="s">
        <v>41</v>
      </c>
      <c r="B42" s="13" t="n">
        <f aca="false">EffectiveRates!$B$12*(B36+B37)</f>
        <v>32.10024993247</v>
      </c>
      <c r="C42" s="13" t="n">
        <f aca="false">EffectiveRates!$C$12*(C36+C37)</f>
        <v>14.91621990672</v>
      </c>
      <c r="D42" s="13" t="n">
        <f aca="false">EffectiveRates!$D$12*(D36+D37)</f>
        <v>19.19466956404</v>
      </c>
      <c r="E42" s="13" t="n">
        <f aca="false">EffectiveRates!$E$12*(E36+E37)</f>
        <v>16.59344692952</v>
      </c>
      <c r="F42" s="13" t="n">
        <f aca="false">EffectiveRates!$F$12*(F36+F37)</f>
        <v>19.09748776492</v>
      </c>
      <c r="G42" s="13" t="n">
        <f aca="false">EffectiveRates!$G$12*(G36+G37)</f>
        <v>11.26496878002</v>
      </c>
      <c r="H42" s="13" t="n">
        <f aca="false">EffectiveRates!$H$12*(H36+H37)</f>
        <v>7.24348421633</v>
      </c>
      <c r="I42" s="13" t="n">
        <f aca="false">EffectiveRates!$I$12*(I36+I37)</f>
        <v>1.381306345125</v>
      </c>
      <c r="J42" s="14" t="n">
        <f aca="false">SUM(B42:I42)</f>
        <v>121.791833439145</v>
      </c>
    </row>
    <row r="43" customFormat="false" ht="15" hidden="false" customHeight="false" outlineLevel="0" collapsed="false">
      <c r="A43" s="8" t="s">
        <v>42</v>
      </c>
      <c r="B43" s="13" t="n">
        <f aca="false">EffectiveRates!$B$13*(B36+B37)</f>
        <v>34.489105741398</v>
      </c>
      <c r="C43" s="13" t="n">
        <f aca="false">EffectiveRates!$C$13*(C36+C37)</f>
        <v>16.026264178848</v>
      </c>
      <c r="D43" s="13" t="n">
        <f aca="false">EffectiveRates!$D$13*(D36+D37)</f>
        <v>20.623110089736</v>
      </c>
      <c r="E43" s="13" t="n">
        <f aca="false">EffectiveRates!$E$13*(E36+E37)</f>
        <v>17.828308096368</v>
      </c>
      <c r="F43" s="13" t="n">
        <f aca="false">EffectiveRates!$F$13*(F36+F37)</f>
        <v>20.518696156728</v>
      </c>
      <c r="G43" s="13" t="n">
        <f aca="false">EffectiveRates!$G$13*(G36+G37)</f>
        <v>12.103292038068</v>
      </c>
      <c r="H43" s="13" t="n">
        <f aca="false">EffectiveRates!$H$13*(H36+H37)</f>
        <v>7.782534204522</v>
      </c>
      <c r="I43" s="13" t="n">
        <f aca="false">EffectiveRates!$I$13*(I36+I37)</f>
        <v>1.484101235925</v>
      </c>
      <c r="J43" s="14" t="n">
        <f aca="false">SUM(B43:I43)</f>
        <v>130.855411741593</v>
      </c>
    </row>
    <row r="44" customFormat="false" ht="15" hidden="false" customHeight="false" outlineLevel="0" collapsed="false">
      <c r="A44" s="8" t="s">
        <v>43</v>
      </c>
      <c r="B44" s="13" t="n">
        <f aca="false">EffectiveRates!$B$14*(B36+B37+B38+B39+B40+B41+B42+B43)</f>
        <v>39.7039708377859</v>
      </c>
      <c r="C44" s="13" t="n">
        <f aca="false">EffectiveRates!$C$14*(C36+C37+C38+C39+C40+C41+C42+C43)</f>
        <v>18.4980497753696</v>
      </c>
      <c r="D44" s="13" t="n">
        <f aca="false">EffectiveRates!$D$14*(D36+D37+D38+D39+D40+D41+D42+D43)</f>
        <v>23.8228991160222</v>
      </c>
      <c r="E44" s="13" t="n">
        <f aca="false">EffectiveRates!$E$14*(E36+E37+E38+E39+E40+E41+E42+E43)</f>
        <v>20.5917825921236</v>
      </c>
      <c r="F44" s="13" t="n">
        <f aca="false">EffectiveRates!$F$14*(F36+F37+F38+F39+F40+F41+F42+F43)</f>
        <v>23.6683611380706</v>
      </c>
      <c r="G44" s="13" t="n">
        <f aca="false">EffectiveRates!$G$14*(G36+G37+G38+G39+G40+G41+G42+G43)</f>
        <v>13.9461734844011</v>
      </c>
      <c r="H44" s="13" t="n">
        <f aca="false">EffectiveRates!$H$14*(H36+H37+H38+H39+H40+H41+H42+H43)</f>
        <v>8.96412335389815</v>
      </c>
      <c r="I44" s="13" t="n">
        <f aca="false">EffectiveRates!$I$14*(I36+I37+I38+I39+I40+I41+I42+I43)</f>
        <v>1.70504634523188</v>
      </c>
      <c r="J44" s="14" t="n">
        <f aca="false">SUM(B44:I44)</f>
        <v>150.900406642903</v>
      </c>
    </row>
    <row r="45" customFormat="false" ht="15" hidden="false" customHeight="false" outlineLevel="0" collapsed="false">
      <c r="A45" s="18" t="s">
        <v>44</v>
      </c>
      <c r="B45" s="19" t="n">
        <f aca="false">(B36+B37+B38+B39+B40+B41+B42+B43)+B44</f>
        <v>1627.86280434922</v>
      </c>
      <c r="C45" s="19" t="n">
        <f aca="false">(C36+C37+C38+C39+C40+C41+C42+C43)+C44</f>
        <v>758.420040790154</v>
      </c>
      <c r="D45" s="19" t="n">
        <f aca="false">(D36+D37+D38+D39+D40+D41+D42+D43)+D44</f>
        <v>976.73886375691</v>
      </c>
      <c r="E45" s="19" t="n">
        <f aca="false">(E36+E37+E38+E39+E40+E41+E42+E43)+E44</f>
        <v>844.263086277068</v>
      </c>
      <c r="F45" s="19" t="n">
        <f aca="false">(F36+F37+F38+F39+F40+F41+F42+F43)+F44</f>
        <v>970.402806660894</v>
      </c>
      <c r="G45" s="19" t="n">
        <f aca="false">(G36+G37+G38+G39+G40+G41+G42+G43)+G44</f>
        <v>571.793112860445</v>
      </c>
      <c r="H45" s="19" t="n">
        <f aca="false">(H36+H37+H38+H39+H40+H41+H42+H43)+H44</f>
        <v>367.529057509824</v>
      </c>
      <c r="I45" s="19" t="n">
        <f aca="false">(I36+I37+I38+I39+I40+I41+I42+I43)+I44</f>
        <v>69.9069001545069</v>
      </c>
      <c r="J45" s="20" t="n">
        <f aca="false">SUM(B45:I45)</f>
        <v>6186.91667235902</v>
      </c>
    </row>
    <row r="47" customFormat="false" ht="15" hidden="false" customHeight="false" outlineLevel="0" collapsed="false">
      <c r="A47" s="11" t="s">
        <v>46</v>
      </c>
      <c r="B47" s="12"/>
      <c r="C47" s="12"/>
      <c r="D47" s="12"/>
      <c r="E47" s="12"/>
      <c r="F47" s="12"/>
      <c r="G47" s="12"/>
      <c r="H47" s="12"/>
      <c r="I47" s="12"/>
      <c r="J47" s="12"/>
    </row>
    <row r="48" customFormat="false" ht="15" hidden="false" customHeight="false" outlineLevel="0" collapsed="false">
      <c r="A48" s="8" t="s">
        <v>31</v>
      </c>
      <c r="B48" s="13" t="n">
        <f aca="false">EffectiveRates!$B$5*B7</f>
        <v>91.26</v>
      </c>
      <c r="C48" s="13" t="n">
        <f aca="false">EffectiveRates!$C$5*C7</f>
        <v>16.74</v>
      </c>
      <c r="D48" s="13" t="n">
        <f aca="false">EffectiveRates!$D$5*D7</f>
        <v>17.6</v>
      </c>
      <c r="E48" s="13" t="n">
        <f aca="false">EffectiveRates!$E$5*E7</f>
        <v>15.68</v>
      </c>
      <c r="F48" s="13" t="n">
        <f aca="false">EffectiveRates!$F$5*F7</f>
        <v>17.36</v>
      </c>
      <c r="G48" s="13" t="n">
        <f aca="false">EffectiveRates!$G$5*G7</f>
        <v>17.36</v>
      </c>
      <c r="H48" s="13" t="n">
        <f aca="false">EffectiveRates!$H$5*H7</f>
        <v>16.24</v>
      </c>
      <c r="I48" s="13" t="n">
        <f aca="false">EffectiveRates!$I$5*I7</f>
        <v>7.84</v>
      </c>
      <c r="J48" s="14" t="n">
        <f aca="false">SUM(B48:I48)</f>
        <v>200.08</v>
      </c>
    </row>
    <row r="49" customFormat="false" ht="15" hidden="false" customHeight="false" outlineLevel="0" collapsed="false">
      <c r="A49" s="8" t="s">
        <v>32</v>
      </c>
      <c r="B49" s="13" t="n">
        <f aca="false">EffectiveRates!$B$8*B13*B7</f>
        <v>89.232</v>
      </c>
      <c r="C49" s="13" t="n">
        <f aca="false">EffectiveRates!$C$8*C13*C7</f>
        <v>16.368</v>
      </c>
      <c r="D49" s="13" t="n">
        <f aca="false">EffectiveRates!$D$8*D13*D7</f>
        <v>17.9712</v>
      </c>
      <c r="E49" s="13" t="n">
        <f aca="false">EffectiveRates!$E$8*E13*E7</f>
        <v>16.6656</v>
      </c>
      <c r="F49" s="13" t="n">
        <f aca="false">EffectiveRates!$F$8*F13*F7</f>
        <v>18.4512</v>
      </c>
      <c r="G49" s="13" t="n">
        <f aca="false">EffectiveRates!$G$8*G13*G7</f>
        <v>18.4512</v>
      </c>
      <c r="H49" s="13" t="n">
        <f aca="false">EffectiveRates!$H$8*H13*H7</f>
        <v>17.2608</v>
      </c>
      <c r="I49" s="13" t="n">
        <f aca="false">EffectiveRates!$I$8*I13*I7</f>
        <v>8.3328</v>
      </c>
      <c r="J49" s="14" t="n">
        <f aca="false">SUM(B49:I49)</f>
        <v>202.7328</v>
      </c>
    </row>
    <row r="50" customFormat="false" ht="15" hidden="false" customHeight="false" outlineLevel="0" collapsed="false">
      <c r="A50" s="8" t="s">
        <v>33</v>
      </c>
      <c r="B50" s="13" t="n">
        <f aca="false">EffectiveRates!$B$7*B8</f>
        <v>9.92982772</v>
      </c>
      <c r="C50" s="13" t="n">
        <f aca="false">EffectiveRates!$C$7*C8</f>
        <v>5.40133426</v>
      </c>
      <c r="D50" s="13" t="n">
        <f aca="false">EffectiveRates!$D$7*D8</f>
        <v>6.693297</v>
      </c>
      <c r="E50" s="13" t="n">
        <f aca="false">EffectiveRates!$E$7*E8</f>
        <v>5.30123522</v>
      </c>
      <c r="F50" s="13" t="n">
        <f aca="false">EffectiveRates!$F$7*F8</f>
        <v>5.67604902</v>
      </c>
      <c r="G50" s="13" t="n">
        <f aca="false">EffectiveRates!$G$7*G8</f>
        <v>3.14126051</v>
      </c>
      <c r="H50" s="13" t="n">
        <f aca="false">EffectiveRates!$H$7*H8</f>
        <v>1.97295567</v>
      </c>
      <c r="I50" s="13" t="n">
        <f aca="false">EffectiveRates!$I$7*I8</f>
        <v>0.31584145</v>
      </c>
      <c r="J50" s="14" t="n">
        <f aca="false">SUM(B50:I50)</f>
        <v>38.43180085</v>
      </c>
    </row>
    <row r="51" customFormat="false" ht="15" hidden="false" customHeight="false" outlineLevel="0" collapsed="false">
      <c r="A51" s="8" t="s">
        <v>34</v>
      </c>
      <c r="B51" s="13" t="n">
        <f aca="false">B12*EffectiveRates!$B$22+B11*EffectiveRates!$B$21</f>
        <v>463.56950466</v>
      </c>
      <c r="C51" s="13" t="n">
        <f aca="false">C12*EffectiveRates!$C$22+C11*EffectiveRates!$C$21</f>
        <v>288.496471</v>
      </c>
      <c r="D51" s="13" t="n">
        <f aca="false">D12*EffectiveRates!$D$22+D11*EffectiveRates!$D$21</f>
        <v>371.843684</v>
      </c>
      <c r="E51" s="13" t="n">
        <f aca="false">E12*EffectiveRates!$E$22+E11*EffectiveRates!$E$21</f>
        <v>287.033834</v>
      </c>
      <c r="F51" s="13" t="n">
        <f aca="false">F12*EffectiveRates!$F$22+F11*EffectiveRates!$F$21</f>
        <v>309.417198</v>
      </c>
      <c r="G51" s="13" t="n">
        <f aca="false">G12*EffectiveRates!$G$22+G11*EffectiveRates!$G$21</f>
        <v>152.637641</v>
      </c>
      <c r="H51" s="13" t="n">
        <f aca="false">H12*EffectiveRates!$H$22+H11*EffectiveRates!$H$21</f>
        <v>83.314817</v>
      </c>
      <c r="I51" s="13" t="n">
        <f aca="false">I12*EffectiveRates!$I$22+I11*EffectiveRates!$I$21</f>
        <v>6.681515</v>
      </c>
      <c r="J51" s="14" t="n">
        <f aca="false">SUM(B51:I51)</f>
        <v>1962.99466466</v>
      </c>
    </row>
    <row r="52" customFormat="false" ht="15" hidden="false" customHeight="false" outlineLevel="0" collapsed="false">
      <c r="A52" s="15" t="s">
        <v>35</v>
      </c>
      <c r="B52" s="16" t="n">
        <f aca="false">B48+B49+B50+B51</f>
        <v>653.99133238</v>
      </c>
      <c r="C52" s="16" t="n">
        <f aca="false">C48+C49+C50+C51</f>
        <v>327.00580526</v>
      </c>
      <c r="D52" s="16" t="n">
        <f aca="false">D48+D49+D50+D51</f>
        <v>414.108181</v>
      </c>
      <c r="E52" s="16" t="n">
        <f aca="false">E48+E49+E50+E51</f>
        <v>324.68066922</v>
      </c>
      <c r="F52" s="16" t="n">
        <f aca="false">F48+F49+F50+F51</f>
        <v>350.90444702</v>
      </c>
      <c r="G52" s="16" t="n">
        <f aca="false">G48+G49+G50+G51</f>
        <v>191.59010151</v>
      </c>
      <c r="H52" s="16" t="n">
        <f aca="false">H48+H49+H50+H51</f>
        <v>118.78857267</v>
      </c>
      <c r="I52" s="16" t="n">
        <f aca="false">I48+I49+I50+I51</f>
        <v>23.17015645</v>
      </c>
      <c r="J52" s="17" t="n">
        <f aca="false">SUM(B52:I52)</f>
        <v>2404.23926551</v>
      </c>
    </row>
    <row r="53" customFormat="false" ht="15" hidden="false" customHeight="false" outlineLevel="0" collapsed="false">
      <c r="A53" s="8" t="s">
        <v>36</v>
      </c>
      <c r="B53" s="13" t="n">
        <f aca="false">EffectiveRates!$B$15*(B11*EffectiveRates!$B$23+B12*EffectiveRates!$B$24)</f>
        <v>434.247158325875</v>
      </c>
      <c r="C53" s="13" t="n">
        <f aca="false">EffectiveRates!$C$15*(C11*EffectiveRates!$C$23+C12*EffectiveRates!$C$24)</f>
        <v>339.95669304636</v>
      </c>
      <c r="D53" s="13" t="n">
        <f aca="false">EffectiveRates!$D$15*(D11*EffectiveRates!$D$23+D12*EffectiveRates!$D$24)</f>
        <v>442.7775602372</v>
      </c>
      <c r="E53" s="13" t="n">
        <f aca="false">EffectiveRates!$E$15*(E11*EffectiveRates!$E$23+E12*EffectiveRates!$E$24)</f>
        <v>358.23568608908</v>
      </c>
      <c r="F53" s="13" t="n">
        <f aca="false">EffectiveRates!$F$15*(F11*EffectiveRates!$F$23+F12*EffectiveRates!$F$24)</f>
        <v>440.54285222772</v>
      </c>
      <c r="G53" s="13" t="n">
        <f aca="false">EffectiveRates!$G$15*(G11*EffectiveRates!$G$23+G12*EffectiveRates!$G$24)</f>
        <v>216.04928441982</v>
      </c>
      <c r="H53" s="13" t="n">
        <f aca="false">EffectiveRates!$H$15*(H11*EffectiveRates!$H$23+H12*EffectiveRates!$H$24)</f>
        <v>105.4634559017</v>
      </c>
      <c r="I53" s="13" t="n">
        <f aca="false">EffectiveRates!$I$15*(I11*EffectiveRates!$I$23+I12*EffectiveRates!$I$24)</f>
        <v>2.0531648214</v>
      </c>
      <c r="J53" s="14" t="n">
        <f aca="false">SUM(B53:I53)</f>
        <v>2339.32585506916</v>
      </c>
    </row>
    <row r="54" customFormat="false" ht="15" hidden="false" customHeight="false" outlineLevel="0" collapsed="false">
      <c r="A54" s="8" t="s">
        <v>37</v>
      </c>
      <c r="B54" s="13" t="n">
        <f aca="false">EffectiveRates!$B$6*B8</f>
        <v>29.24192108</v>
      </c>
      <c r="C54" s="13" t="n">
        <f aca="false">EffectiveRates!$C$6*C8</f>
        <v>15.90615614</v>
      </c>
      <c r="D54" s="13" t="n">
        <f aca="false">EffectiveRates!$D$6*D8</f>
        <v>21.21316704</v>
      </c>
      <c r="E54" s="13" t="n">
        <f aca="false">EffectiveRates!$E$6*E8</f>
        <v>18.08373716</v>
      </c>
      <c r="F54" s="13" t="n">
        <f aca="false">EffectiveRates!$F$6*F8</f>
        <v>19.36231356</v>
      </c>
      <c r="G54" s="13" t="n">
        <f aca="false">EffectiveRates!$G$6*G8</f>
        <v>10.71556478</v>
      </c>
      <c r="H54" s="13" t="n">
        <f aca="false">EffectiveRates!$H$6*H8</f>
        <v>6.73020726</v>
      </c>
      <c r="I54" s="13" t="n">
        <f aca="false">EffectiveRates!$I$6*I8</f>
        <v>1.0774081</v>
      </c>
      <c r="J54" s="14" t="n">
        <f aca="false">SUM(B54:I54)</f>
        <v>122.33047512</v>
      </c>
    </row>
    <row r="55" customFormat="false" ht="15" hidden="false" customHeight="false" outlineLevel="0" collapsed="false">
      <c r="A55" s="8" t="s">
        <v>38</v>
      </c>
      <c r="B55" s="13" t="n">
        <f aca="false">EffectiveRates!$B$9*B8</f>
        <v>-3.159012</v>
      </c>
      <c r="C55" s="13" t="n">
        <f aca="false">EffectiveRates!$C$9*C8</f>
        <v>-1.718346</v>
      </c>
      <c r="D55" s="13" t="n">
        <f aca="false">EffectiveRates!$D$9*D8</f>
        <v>-2.200536</v>
      </c>
      <c r="E55" s="13" t="n">
        <f aca="false">EffectiveRates!$E$9*E8</f>
        <v>-1.804164</v>
      </c>
      <c r="F55" s="13" t="n">
        <f aca="false">EffectiveRates!$F$9*F8</f>
        <v>-1.931724</v>
      </c>
      <c r="G55" s="13" t="n">
        <f aca="false">EffectiveRates!$G$9*G8</f>
        <v>-1.069062</v>
      </c>
      <c r="H55" s="13" t="n">
        <f aca="false">EffectiveRates!$H$9*H8</f>
        <v>-0.671454</v>
      </c>
      <c r="I55" s="13" t="n">
        <f aca="false">EffectiveRates!$I$9*I8</f>
        <v>-0.10749</v>
      </c>
      <c r="J55" s="14" t="n">
        <f aca="false">SUM(B55:I55)</f>
        <v>-12.661788</v>
      </c>
    </row>
    <row r="56" customFormat="false" ht="15" hidden="false" customHeight="false" outlineLevel="0" collapsed="false">
      <c r="A56" s="8" t="s">
        <v>39</v>
      </c>
      <c r="B56" s="13" t="n">
        <f aca="false">EffectiveRates!$B$10*B8</f>
        <v>-1.579506</v>
      </c>
      <c r="C56" s="13" t="n">
        <f aca="false">EffectiveRates!$C$10*C8</f>
        <v>-0.859173</v>
      </c>
      <c r="D56" s="13" t="n">
        <f aca="false">EffectiveRates!$D$10*D8</f>
        <v>-1.100268</v>
      </c>
      <c r="E56" s="13" t="n">
        <f aca="false">EffectiveRates!$E$10*E8</f>
        <v>-0.902082</v>
      </c>
      <c r="F56" s="13" t="n">
        <f aca="false">EffectiveRates!$F$10*F8</f>
        <v>-0.965862</v>
      </c>
      <c r="G56" s="13" t="n">
        <f aca="false">EffectiveRates!$G$10*G8</f>
        <v>-0.534531</v>
      </c>
      <c r="H56" s="13" t="n">
        <f aca="false">EffectiveRates!$H$10*H8</f>
        <v>-0.335727</v>
      </c>
      <c r="I56" s="13" t="n">
        <f aca="false">EffectiveRates!$I$10*I8</f>
        <v>-0.053745</v>
      </c>
      <c r="J56" s="14" t="n">
        <f aca="false">SUM(B56:I56)</f>
        <v>-6.330894</v>
      </c>
    </row>
    <row r="57" customFormat="false" ht="15" hidden="false" customHeight="false" outlineLevel="0" collapsed="false">
      <c r="A57" s="8" t="s">
        <v>40</v>
      </c>
      <c r="B57" s="13" t="n">
        <f aca="false">EffectiveRates!$B$11*(B52+B53)</f>
        <v>2.93824392490586</v>
      </c>
      <c r="C57" s="13" t="n">
        <f aca="false">EffectiveRates!$C$11*(C52+C53)</f>
        <v>1.80079874542717</v>
      </c>
      <c r="D57" s="13" t="n">
        <f aca="false">EffectiveRates!$D$11*(D52+D53)</f>
        <v>2.31359150134044</v>
      </c>
      <c r="E57" s="13" t="n">
        <f aca="false">EffectiveRates!$E$11*(E52+E53)</f>
        <v>1.84387415933452</v>
      </c>
      <c r="F57" s="13" t="n">
        <f aca="false">EffectiveRates!$F$11*(F52+F53)</f>
        <v>2.13690770796884</v>
      </c>
      <c r="G57" s="13" t="n">
        <f aca="false">EffectiveRates!$G$11*(G52+G53)</f>
        <v>1.10062634201051</v>
      </c>
      <c r="H57" s="13" t="n">
        <f aca="false">EffectiveRates!$H$11*(H52+H53)</f>
        <v>0.60548047714359</v>
      </c>
      <c r="I57" s="13" t="n">
        <f aca="false">EffectiveRates!$I$11*(I52+I53)</f>
        <v>0.06810296743278</v>
      </c>
      <c r="J57" s="14" t="n">
        <f aca="false">SUM(B57:I57)</f>
        <v>12.8076258255637</v>
      </c>
    </row>
    <row r="58" customFormat="false" ht="15" hidden="false" customHeight="false" outlineLevel="0" collapsed="false">
      <c r="A58" s="8" t="s">
        <v>41</v>
      </c>
      <c r="B58" s="13" t="n">
        <f aca="false">EffectiveRates!$B$12*(B52+B53)</f>
        <v>23.3971275501763</v>
      </c>
      <c r="C58" s="13" t="n">
        <f aca="false">EffectiveRates!$C$12*(C52+C53)</f>
        <v>14.3396937135867</v>
      </c>
      <c r="D58" s="13" t="n">
        <f aca="false">EffectiveRates!$D$12*(D52+D53)</f>
        <v>18.4230434365998</v>
      </c>
      <c r="E58" s="13" t="n">
        <f aca="false">EffectiveRates!$E$12*(E52+E53)</f>
        <v>14.6827016391452</v>
      </c>
      <c r="F58" s="13" t="n">
        <f aca="false">EffectiveRates!$F$12*(F52+F53)</f>
        <v>17.016116933826</v>
      </c>
      <c r="G58" s="13" t="n">
        <f aca="false">EffectiveRates!$G$12*(G52+G53)</f>
        <v>8.76424679749113</v>
      </c>
      <c r="H58" s="13" t="n">
        <f aca="false">EffectiveRates!$H$12*(H52+H53)</f>
        <v>4.82141861429155</v>
      </c>
      <c r="I58" s="13" t="n">
        <f aca="false">EffectiveRates!$I$12*(I52+I53)</f>
        <v>0.5423014073351</v>
      </c>
      <c r="J58" s="14" t="n">
        <f aca="false">SUM(B58:I58)</f>
        <v>101.986650092452</v>
      </c>
    </row>
    <row r="59" customFormat="false" ht="15" hidden="false" customHeight="false" outlineLevel="0" collapsed="false">
      <c r="A59" s="8" t="s">
        <v>42</v>
      </c>
      <c r="B59" s="13" t="n">
        <f aca="false">EffectiveRates!$B$13*(B52+B53)</f>
        <v>25.1383091353057</v>
      </c>
      <c r="C59" s="13" t="n">
        <f aca="false">EffectiveRates!$C$13*(C52+C53)</f>
        <v>15.4068337108769</v>
      </c>
      <c r="D59" s="13" t="n">
        <f aca="false">EffectiveRates!$D$13*(D52+D53)</f>
        <v>19.7940606225793</v>
      </c>
      <c r="E59" s="13" t="n">
        <f aca="false">EffectiveRates!$E$13*(E52+E53)</f>
        <v>15.7753678076398</v>
      </c>
      <c r="F59" s="13" t="n">
        <f aca="false">EffectiveRates!$F$13*(F52+F53)</f>
        <v>18.2824326126223</v>
      </c>
      <c r="G59" s="13" t="n">
        <f aca="false">EffectiveRates!$G$13*(G52+G53)</f>
        <v>9.41646981497884</v>
      </c>
      <c r="H59" s="13" t="n">
        <f aca="false">EffectiveRates!$H$13*(H52+H53)</f>
        <v>5.18022186000627</v>
      </c>
      <c r="I59" s="13" t="n">
        <f aca="false">EffectiveRates!$I$13*(I52+I53)</f>
        <v>0.58265872136934</v>
      </c>
      <c r="J59" s="14" t="n">
        <f aca="false">SUM(B59:I59)</f>
        <v>109.576354285378</v>
      </c>
    </row>
    <row r="60" customFormat="false" ht="15" hidden="false" customHeight="false" outlineLevel="0" collapsed="false">
      <c r="A60" s="8" t="s">
        <v>43</v>
      </c>
      <c r="B60" s="13" t="n">
        <f aca="false">EffectiveRates!$B$14*(B52+B53+B54+B55+B56+B57+B58+B59)</f>
        <v>29.1053893599066</v>
      </c>
      <c r="C60" s="13" t="n">
        <f aca="false">EffectiveRates!$C$14*(C52+C53+C54+C55+C56+C57+C58+C59)</f>
        <v>17.7959615404063</v>
      </c>
      <c r="D60" s="13" t="n">
        <f aca="false">EffectiveRates!$D$14*(D52+D53+D54+D55+D56+D57+D58+D59)</f>
        <v>22.883219995943</v>
      </c>
      <c r="E60" s="13" t="n">
        <f aca="false">EffectiveRates!$E$14*(E52+E53+E54+E55+E56+E57+E58+E59)</f>
        <v>18.26489475188</v>
      </c>
      <c r="F60" s="13" t="n">
        <f aca="false">EffectiveRates!$F$14*(F52+F53+F54+F55+F56+F57+F58+F59)</f>
        <v>21.1336871015534</v>
      </c>
      <c r="G60" s="13" t="n">
        <f aca="false">EffectiveRates!$G$14*(G52+G53+G54+G55+G56+G57+G58+G59)</f>
        <v>10.9008175166075</v>
      </c>
      <c r="H60" s="13" t="n">
        <f aca="false">EffectiveRates!$H$14*(H52+H53+H54+H55+H56+H57+H58+H59)</f>
        <v>6.01455439457854</v>
      </c>
      <c r="I60" s="13" t="n">
        <f aca="false">EffectiveRates!$I$14*(I52+I53+I54+I55+I56+I57+I58+I59)</f>
        <v>0.683313936688431</v>
      </c>
      <c r="J60" s="14" t="n">
        <f aca="false">SUM(B60:I60)</f>
        <v>126.781838597564</v>
      </c>
    </row>
    <row r="61" customFormat="false" ht="15" hidden="false" customHeight="false" outlineLevel="0" collapsed="false">
      <c r="A61" s="18" t="s">
        <v>44</v>
      </c>
      <c r="B61" s="19" t="n">
        <f aca="false">(B52+B53+B54+B55+B56+B57+B58+B59)+B60</f>
        <v>1193.32096375617</v>
      </c>
      <c r="C61" s="19" t="n">
        <f aca="false">(C52+C53+C54+C55+C56+C57+C58+C59)+C60</f>
        <v>729.634423156657</v>
      </c>
      <c r="D61" s="19" t="n">
        <f aca="false">(D52+D53+D54+D55+D56+D57+D58+D59)+D60</f>
        <v>938.212019833663</v>
      </c>
      <c r="E61" s="19" t="n">
        <f aca="false">(E52+E53+E54+E55+E56+E57+E58+E59)+E60</f>
        <v>748.86068482708</v>
      </c>
      <c r="F61" s="19" t="n">
        <f aca="false">(F52+F53+F54+F55+F56+F57+F58+F59)+F60</f>
        <v>866.48117116369</v>
      </c>
      <c r="G61" s="19" t="n">
        <f aca="false">(G52+G53+G54+G55+G56+G57+G58+G59)+G60</f>
        <v>446.933518180908</v>
      </c>
      <c r="H61" s="19" t="n">
        <f aca="false">(H52+H53+H54+H55+H56+H57+H58+H59)+H60</f>
        <v>246.59673017772</v>
      </c>
      <c r="I61" s="19" t="n">
        <f aca="false">(I52+I53+I54+I55+I56+I57+I58+I59)+I60</f>
        <v>28.0158714042257</v>
      </c>
      <c r="J61" s="20" t="n">
        <f aca="false">SUM(B61:I61)</f>
        <v>5198.05538250011</v>
      </c>
    </row>
    <row r="63" customFormat="false" ht="15" hidden="false" customHeight="false" outlineLevel="0" collapsed="false">
      <c r="A63" s="11" t="s">
        <v>47</v>
      </c>
      <c r="B63" s="12"/>
      <c r="C63" s="12"/>
      <c r="D63" s="12"/>
      <c r="E63" s="12"/>
      <c r="F63" s="12"/>
      <c r="G63" s="12"/>
      <c r="H63" s="12"/>
      <c r="I63" s="12"/>
      <c r="J63" s="12"/>
    </row>
    <row r="64" customFormat="false" ht="15" hidden="false" customHeight="false" outlineLevel="0" collapsed="false">
      <c r="A64" s="8" t="s">
        <v>31</v>
      </c>
      <c r="B64" s="13" t="n">
        <f aca="false">EffectiveRates!$B$5*B7</f>
        <v>91.26</v>
      </c>
      <c r="C64" s="13" t="n">
        <f aca="false">EffectiveRates!$C$5*C7</f>
        <v>16.74</v>
      </c>
      <c r="D64" s="13" t="n">
        <f aca="false">EffectiveRates!$D$5*D7</f>
        <v>17.6</v>
      </c>
      <c r="E64" s="13" t="n">
        <f aca="false">EffectiveRates!$E$5*E7</f>
        <v>15.68</v>
      </c>
      <c r="F64" s="13" t="n">
        <f aca="false">EffectiveRates!$F$5*F7</f>
        <v>17.36</v>
      </c>
      <c r="G64" s="13" t="n">
        <f aca="false">EffectiveRates!$G$5*G7</f>
        <v>17.36</v>
      </c>
      <c r="H64" s="13" t="n">
        <f aca="false">EffectiveRates!$H$5*H7</f>
        <v>16.24</v>
      </c>
      <c r="I64" s="13" t="n">
        <f aca="false">EffectiveRates!$I$5*I7</f>
        <v>7.84</v>
      </c>
      <c r="J64" s="14" t="n">
        <f aca="false">SUM(B64:I64)</f>
        <v>200.08</v>
      </c>
    </row>
    <row r="65" customFormat="false" ht="15" hidden="false" customHeight="false" outlineLevel="0" collapsed="false">
      <c r="A65" s="8" t="s">
        <v>32</v>
      </c>
      <c r="B65" s="13" t="n">
        <f aca="false">EffectiveRates!$B$8*B13*B7</f>
        <v>89.232</v>
      </c>
      <c r="C65" s="13" t="n">
        <f aca="false">EffectiveRates!$C$8*C13*C7</f>
        <v>16.368</v>
      </c>
      <c r="D65" s="13" t="n">
        <f aca="false">EffectiveRates!$D$8*D13*D7</f>
        <v>17.9712</v>
      </c>
      <c r="E65" s="13" t="n">
        <f aca="false">EffectiveRates!$E$8*E13*E7</f>
        <v>16.6656</v>
      </c>
      <c r="F65" s="13" t="n">
        <f aca="false">EffectiveRates!$F$8*F13*F7</f>
        <v>18.4512</v>
      </c>
      <c r="G65" s="13" t="n">
        <f aca="false">EffectiveRates!$G$8*G13*G7</f>
        <v>18.4512</v>
      </c>
      <c r="H65" s="13" t="n">
        <f aca="false">EffectiveRates!$H$8*H13*H7</f>
        <v>17.2608</v>
      </c>
      <c r="I65" s="13" t="n">
        <f aca="false">EffectiveRates!$I$8*I13*I7</f>
        <v>8.3328</v>
      </c>
      <c r="J65" s="14" t="n">
        <f aca="false">SUM(B65:I65)</f>
        <v>202.7328</v>
      </c>
    </row>
    <row r="66" customFormat="false" ht="15" hidden="false" customHeight="false" outlineLevel="0" collapsed="false">
      <c r="A66" s="8" t="s">
        <v>33</v>
      </c>
      <c r="B66" s="13" t="n">
        <f aca="false">EffectiveRates!$B$7*B8</f>
        <v>9.92982772</v>
      </c>
      <c r="C66" s="13" t="n">
        <f aca="false">EffectiveRates!$C$7*C8</f>
        <v>5.40133426</v>
      </c>
      <c r="D66" s="13" t="n">
        <f aca="false">EffectiveRates!$D$7*D8</f>
        <v>6.693297</v>
      </c>
      <c r="E66" s="13" t="n">
        <f aca="false">EffectiveRates!$E$7*E8</f>
        <v>5.30123522</v>
      </c>
      <c r="F66" s="13" t="n">
        <f aca="false">EffectiveRates!$F$7*F8</f>
        <v>5.67604902</v>
      </c>
      <c r="G66" s="13" t="n">
        <f aca="false">EffectiveRates!$G$7*G8</f>
        <v>3.14126051</v>
      </c>
      <c r="H66" s="13" t="n">
        <f aca="false">EffectiveRates!$H$7*H8</f>
        <v>1.97295567</v>
      </c>
      <c r="I66" s="13" t="n">
        <f aca="false">EffectiveRates!$I$7*I8</f>
        <v>0.31584145</v>
      </c>
      <c r="J66" s="14" t="n">
        <f aca="false">SUM(B66:I66)</f>
        <v>38.43180085</v>
      </c>
    </row>
    <row r="67" customFormat="false" ht="15" hidden="false" customHeight="false" outlineLevel="0" collapsed="false">
      <c r="A67" s="8" t="s">
        <v>34</v>
      </c>
      <c r="B67" s="13" t="n">
        <f aca="false">B9*EffectiveRates!$B$25+B10*EffectiveRates!$B$26+B12*EffectiveRates!$B$27</f>
        <v>-83.44937663</v>
      </c>
      <c r="C67" s="13" t="n">
        <f aca="false">C9*EffectiveRates!$C$25+C10*EffectiveRates!$C$26+C12*EffectiveRates!$C$27</f>
        <v>214.783237</v>
      </c>
      <c r="D67" s="13" t="n">
        <f aca="false">D9*EffectiveRates!$D$25+D10*EffectiveRates!$D$26+D12*EffectiveRates!$D$27</f>
        <v>281.498582</v>
      </c>
      <c r="E67" s="13" t="n">
        <f aca="false">E9*EffectiveRates!$E$25+E10*EffectiveRates!$E$26+E12*EffectiveRates!$E$27</f>
        <v>189.912337</v>
      </c>
      <c r="F67" s="13" t="n">
        <f aca="false">F9*EffectiveRates!$F$25+F10*EffectiveRates!$F$26+F12*EffectiveRates!$F$27</f>
        <v>186.168627</v>
      </c>
      <c r="G67" s="13" t="n">
        <f aca="false">G9*EffectiveRates!$G$25+G10*EffectiveRates!$G$26+G12*EffectiveRates!$G$27</f>
        <v>44.063618</v>
      </c>
      <c r="H67" s="13" t="n">
        <f aca="false">H9*EffectiveRates!$H$25+H10*EffectiveRates!$H$26+H12*EffectiveRates!$H$27</f>
        <v>-14.099404</v>
      </c>
      <c r="I67" s="13" t="n">
        <f aca="false">I9*EffectiveRates!$I$25+I10*EffectiveRates!$I$26+I12*EffectiveRates!$I$27</f>
        <v>-30.211198</v>
      </c>
      <c r="J67" s="14" t="n">
        <f aca="false">SUM(B67:I67)</f>
        <v>788.66642237</v>
      </c>
    </row>
    <row r="68" customFormat="false" ht="15" hidden="false" customHeight="false" outlineLevel="0" collapsed="false">
      <c r="A68" s="15" t="s">
        <v>35</v>
      </c>
      <c r="B68" s="16" t="n">
        <f aca="false">B64+B65+B66+B67</f>
        <v>106.97245109</v>
      </c>
      <c r="C68" s="16" t="n">
        <f aca="false">C64+C65+C66+C67</f>
        <v>253.29257126</v>
      </c>
      <c r="D68" s="16" t="n">
        <f aca="false">D64+D65+D66+D67</f>
        <v>323.763079</v>
      </c>
      <c r="E68" s="16" t="n">
        <f aca="false">E64+E65+E66+E67</f>
        <v>227.55917222</v>
      </c>
      <c r="F68" s="16" t="n">
        <f aca="false">F64+F65+F66+F67</f>
        <v>227.65587602</v>
      </c>
      <c r="G68" s="16" t="n">
        <f aca="false">G64+G65+G66+G67</f>
        <v>83.01607851</v>
      </c>
      <c r="H68" s="16" t="n">
        <f aca="false">H64+H65+H66+H67</f>
        <v>21.37435167</v>
      </c>
      <c r="I68" s="16" t="n">
        <f aca="false">I64+I65+I66+I67</f>
        <v>-13.72255655</v>
      </c>
      <c r="J68" s="17" t="n">
        <f aca="false">SUM(B68:I68)</f>
        <v>1229.91102322</v>
      </c>
    </row>
    <row r="69" customFormat="false" ht="15" hidden="false" customHeight="false" outlineLevel="0" collapsed="false">
      <c r="A69" s="8" t="s">
        <v>36</v>
      </c>
      <c r="B69" s="13" t="n">
        <f aca="false">EffectiveRates!$B$15*(B9*EffectiveRates!$B$28+B10*EffectiveRates!$B$29+B12*EffectiveRates!$B$30)</f>
        <v>196.778056202585</v>
      </c>
      <c r="C69" s="13" t="n">
        <f aca="false">EffectiveRates!$C$15*(C9*EffectiveRates!$C$28+C10*EffectiveRates!$C$29+C12*EffectiveRates!$C$30)</f>
        <v>299.898912576672</v>
      </c>
      <c r="D69" s="13" t="n">
        <f aca="false">EffectiveRates!$D$15*(D9*EffectiveRates!$D$28+D10*EffectiveRates!$D$29+D12*EffectiveRates!$D$30)</f>
        <v>392.86500824128</v>
      </c>
      <c r="E69" s="13" t="n">
        <f aca="false">EffectiveRates!$E$15*(E9*EffectiveRates!$E$28+E10*EffectiveRates!$E$29+E12*EffectiveRates!$E$30)</f>
        <v>308.082330897416</v>
      </c>
      <c r="F69" s="13" t="n">
        <f aca="false">EffectiveRates!$F$15*(F9*EffectiveRates!$F$28+F10*EffectiveRates!$F$29+F12*EffectiveRates!$F$30)</f>
        <v>351.569247585624</v>
      </c>
      <c r="G69" s="13" t="n">
        <f aca="false">EffectiveRates!$G$15*(G9*EffectiveRates!$G$28+G10*EffectiveRates!$G$29+G12*EffectiveRates!$G$30)</f>
        <v>133.796165035584</v>
      </c>
      <c r="H69" s="13" t="n">
        <f aca="false">EffectiveRates!$H$15*(H9*EffectiveRates!$H$28+H10*EffectiveRates!$H$29+H12*EffectiveRates!$H$30)</f>
        <v>32.01460991404</v>
      </c>
      <c r="I69" s="13" t="n">
        <f aca="false">EffectiveRates!$I$15*(I9*EffectiveRates!$I$28+I10*EffectiveRates!$I$29+I12*EffectiveRates!$I$30)</f>
        <v>-29.08696242672</v>
      </c>
      <c r="J69" s="14" t="n">
        <f aca="false">SUM(B69:I69)</f>
        <v>1685.91736802648</v>
      </c>
    </row>
    <row r="70" customFormat="false" ht="15" hidden="false" customHeight="false" outlineLevel="0" collapsed="false">
      <c r="A70" s="8" t="s">
        <v>37</v>
      </c>
      <c r="B70" s="13" t="n">
        <f aca="false">EffectiveRates!$B$6*B8</f>
        <v>29.24192108</v>
      </c>
      <c r="C70" s="13" t="n">
        <f aca="false">EffectiveRates!$C$6*C8</f>
        <v>15.90615614</v>
      </c>
      <c r="D70" s="13" t="n">
        <f aca="false">EffectiveRates!$D$6*D8</f>
        <v>21.21316704</v>
      </c>
      <c r="E70" s="13" t="n">
        <f aca="false">EffectiveRates!$E$6*E8</f>
        <v>18.08373716</v>
      </c>
      <c r="F70" s="13" t="n">
        <f aca="false">EffectiveRates!$F$6*F8</f>
        <v>19.36231356</v>
      </c>
      <c r="G70" s="13" t="n">
        <f aca="false">EffectiveRates!$G$6*G8</f>
        <v>10.71556478</v>
      </c>
      <c r="H70" s="13" t="n">
        <f aca="false">EffectiveRates!$H$6*H8</f>
        <v>6.73020726</v>
      </c>
      <c r="I70" s="13" t="n">
        <f aca="false">EffectiveRates!$I$6*I8</f>
        <v>1.0774081</v>
      </c>
      <c r="J70" s="14" t="n">
        <f aca="false">SUM(B70:I70)</f>
        <v>122.33047512</v>
      </c>
    </row>
    <row r="71" customFormat="false" ht="15" hidden="false" customHeight="false" outlineLevel="0" collapsed="false">
      <c r="A71" s="8" t="s">
        <v>38</v>
      </c>
      <c r="B71" s="13" t="n">
        <f aca="false">EffectiveRates!$B$9*B8</f>
        <v>-3.159012</v>
      </c>
      <c r="C71" s="13" t="n">
        <f aca="false">EffectiveRates!$C$9*C8</f>
        <v>-1.718346</v>
      </c>
      <c r="D71" s="13" t="n">
        <f aca="false">EffectiveRates!$D$9*D8</f>
        <v>-2.200536</v>
      </c>
      <c r="E71" s="13" t="n">
        <f aca="false">EffectiveRates!$E$9*E8</f>
        <v>-1.804164</v>
      </c>
      <c r="F71" s="13" t="n">
        <f aca="false">EffectiveRates!$F$9*F8</f>
        <v>-1.931724</v>
      </c>
      <c r="G71" s="13" t="n">
        <f aca="false">EffectiveRates!$G$9*G8</f>
        <v>-1.069062</v>
      </c>
      <c r="H71" s="13" t="n">
        <f aca="false">EffectiveRates!$H$9*H8</f>
        <v>-0.671454</v>
      </c>
      <c r="I71" s="13" t="n">
        <f aca="false">EffectiveRates!$I$9*I8</f>
        <v>-0.10749</v>
      </c>
      <c r="J71" s="14" t="n">
        <f aca="false">SUM(B71:I71)</f>
        <v>-12.661788</v>
      </c>
    </row>
    <row r="72" customFormat="false" ht="15" hidden="false" customHeight="false" outlineLevel="0" collapsed="false">
      <c r="A72" s="8" t="s">
        <v>39</v>
      </c>
      <c r="B72" s="13" t="n">
        <f aca="false">EffectiveRates!$B$10*B8</f>
        <v>-1.579506</v>
      </c>
      <c r="C72" s="13" t="n">
        <f aca="false">EffectiveRates!$C$10*C8</f>
        <v>-0.859173</v>
      </c>
      <c r="D72" s="13" t="n">
        <f aca="false">EffectiveRates!$D$10*D8</f>
        <v>-1.100268</v>
      </c>
      <c r="E72" s="13" t="n">
        <f aca="false">EffectiveRates!$E$10*E8</f>
        <v>-0.902082</v>
      </c>
      <c r="F72" s="13" t="n">
        <f aca="false">EffectiveRates!$F$10*F8</f>
        <v>-0.965862</v>
      </c>
      <c r="G72" s="13" t="n">
        <f aca="false">EffectiveRates!$G$10*G8</f>
        <v>-0.534531</v>
      </c>
      <c r="H72" s="13" t="n">
        <f aca="false">EffectiveRates!$H$10*H8</f>
        <v>-0.335727</v>
      </c>
      <c r="I72" s="13" t="n">
        <f aca="false">EffectiveRates!$I$10*I8</f>
        <v>-0.053745</v>
      </c>
      <c r="J72" s="14" t="n">
        <f aca="false">SUM(B72:I72)</f>
        <v>-6.330894</v>
      </c>
    </row>
    <row r="73" customFormat="false" ht="15" hidden="false" customHeight="false" outlineLevel="0" collapsed="false">
      <c r="A73" s="8" t="s">
        <v>40</v>
      </c>
      <c r="B73" s="13" t="n">
        <f aca="false">EffectiveRates!$B$11*(B68+B69)</f>
        <v>0.820126369689978</v>
      </c>
      <c r="C73" s="13" t="n">
        <f aca="false">EffectiveRates!$C$11*(C68+C69)</f>
        <v>1.49361700635901</v>
      </c>
      <c r="D73" s="13" t="n">
        <f aca="false">EffectiveRates!$D$11*(D68+D69)</f>
        <v>1.93489583555146</v>
      </c>
      <c r="E73" s="13" t="n">
        <f aca="false">EffectiveRates!$E$11*(E68+E69)</f>
        <v>1.44623205841702</v>
      </c>
      <c r="F73" s="13" t="n">
        <f aca="false">EffectiveRates!$F$11*(F68+F69)</f>
        <v>1.56390783373519</v>
      </c>
      <c r="G73" s="13" t="n">
        <f aca="false">EffectiveRates!$G$11*(G68+G69)</f>
        <v>0.585393057573077</v>
      </c>
      <c r="H73" s="13" t="n">
        <f aca="false">EffectiveRates!$H$11*(H68+H69)</f>
        <v>0.144150196276908</v>
      </c>
      <c r="I73" s="13" t="n">
        <f aca="false">EffectiveRates!$I$11*(I68+I69)</f>
        <v>-0.115585701237144</v>
      </c>
      <c r="J73" s="14" t="n">
        <f aca="false">SUM(B73:I73)</f>
        <v>7.8727366563655</v>
      </c>
    </row>
    <row r="74" customFormat="false" ht="15" hidden="false" customHeight="false" outlineLevel="0" collapsed="false">
      <c r="A74" s="8" t="s">
        <v>41</v>
      </c>
      <c r="B74" s="13" t="n">
        <f aca="false">EffectiveRates!$B$12*(B68+B69)</f>
        <v>6.53063590679057</v>
      </c>
      <c r="C74" s="13" t="n">
        <f aca="false">EffectiveRates!$C$12*(C68+C69)</f>
        <v>11.8936169024884</v>
      </c>
      <c r="D74" s="13" t="n">
        <f aca="false">EffectiveRates!$D$12*(D68+D69)</f>
        <v>15.4075038756875</v>
      </c>
      <c r="E74" s="13" t="n">
        <f aca="false">EffectiveRates!$E$12*(E68+E69)</f>
        <v>11.5162923170245</v>
      </c>
      <c r="F74" s="13" t="n">
        <f aca="false">EffectiveRates!$F$12*(F68+F69)</f>
        <v>12.4533401575209</v>
      </c>
      <c r="G74" s="13" t="n">
        <f aca="false">EffectiveRates!$G$12*(G68+G69)</f>
        <v>4.66146323623005</v>
      </c>
      <c r="H74" s="13" t="n">
        <f aca="false">EffectiveRates!$H$12*(H68+H69)</f>
        <v>1.14786267405686</v>
      </c>
      <c r="I74" s="13" t="n">
        <f aca="false">EffectiveRates!$I$12*(I68+I69)</f>
        <v>-0.92040465799948</v>
      </c>
      <c r="J74" s="14" t="n">
        <f aca="false">SUM(B74:I74)</f>
        <v>62.6903104117993</v>
      </c>
    </row>
    <row r="75" customFormat="false" ht="15" hidden="false" customHeight="false" outlineLevel="0" collapsed="false">
      <c r="A75" s="8" t="s">
        <v>42</v>
      </c>
      <c r="B75" s="13" t="n">
        <f aca="false">EffectiveRates!$B$13*(B68+B69)</f>
        <v>7.0166367184587</v>
      </c>
      <c r="C75" s="13" t="n">
        <f aca="false">EffectiveRates!$C$13*(C68+C69)</f>
        <v>12.7787232766271</v>
      </c>
      <c r="D75" s="13" t="n">
        <f aca="false">EffectiveRates!$D$13*(D68+D69)</f>
        <v>16.5541088152736</v>
      </c>
      <c r="E75" s="13" t="n">
        <f aca="false">EffectiveRates!$E$13*(E68+E69)</f>
        <v>12.3733187220123</v>
      </c>
      <c r="F75" s="13" t="n">
        <f aca="false">EffectiveRates!$F$13*(F68+F69)</f>
        <v>13.3801003552899</v>
      </c>
      <c r="G75" s="13" t="n">
        <f aca="false">EffectiveRates!$G$13*(G68+G69)</f>
        <v>5.00836282590299</v>
      </c>
      <c r="H75" s="13" t="n">
        <f aca="false">EffectiveRates!$H$13*(H68+H69)</f>
        <v>1.23328501259132</v>
      </c>
      <c r="I75" s="13" t="n">
        <f aca="false">EffectiveRates!$I$13*(I68+I69)</f>
        <v>-0.988899888362232</v>
      </c>
      <c r="J75" s="14" t="n">
        <f aca="false">SUM(B75:I75)</f>
        <v>67.3556358377937</v>
      </c>
    </row>
    <row r="76" customFormat="false" ht="15" hidden="false" customHeight="false" outlineLevel="0" collapsed="false">
      <c r="A76" s="8" t="s">
        <v>43</v>
      </c>
      <c r="B76" s="13" t="n">
        <f aca="false">EffectiveRates!$B$14*(B68+B69+B70+B71+B72+B73+B74+B75)</f>
        <v>8.5655327341881</v>
      </c>
      <c r="C76" s="13" t="n">
        <f aca="false">EffectiveRates!$C$14*(C68+C69+C70+C71+C72+C73+C74+C75)</f>
        <v>14.8171519540537</v>
      </c>
      <c r="D76" s="13" t="n">
        <f aca="false">EffectiveRates!$D$14*(D68+D69+D70+D71+D72+D73+D74+D75)</f>
        <v>19.2109239701948</v>
      </c>
      <c r="E76" s="13" t="n">
        <f aca="false">EffectiveRates!$E$14*(E68+E69+E70+E71+E72+E73+E74+E75)</f>
        <v>14.4088709343718</v>
      </c>
      <c r="F76" s="13" t="n">
        <f aca="false">EffectiveRates!$F$14*(F68+F69+F70+F71+F72+F73+F74+F75)</f>
        <v>15.5771799878042</v>
      </c>
      <c r="G76" s="13" t="n">
        <f aca="false">EffectiveRates!$G$14*(G68+G69+G70+G71+G72+G73+G74+G75)</f>
        <v>5.90448586113225</v>
      </c>
      <c r="H76" s="13" t="n">
        <f aca="false">EffectiveRates!$H$14*(H68+H69+H70+H71+H72+H73+H74+H75)</f>
        <v>1.54093214317413</v>
      </c>
      <c r="I76" s="13" t="n">
        <f aca="false">EffectiveRates!$I$14*(I68+I69+I70+I71+I72+I73+I74+I75)</f>
        <v>-1.09795590310797</v>
      </c>
      <c r="J76" s="14" t="n">
        <f aca="false">SUM(B76:I76)</f>
        <v>78.927121681811</v>
      </c>
    </row>
    <row r="77" customFormat="false" ht="15" hidden="false" customHeight="false" outlineLevel="0" collapsed="false">
      <c r="A77" s="18" t="s">
        <v>44</v>
      </c>
      <c r="B77" s="19" t="n">
        <f aca="false">(B68+B69+B70+B71+B72+B73+B74+B75)+B76</f>
        <v>351.186842101712</v>
      </c>
      <c r="C77" s="19" t="n">
        <f aca="false">(C68+C69+C70+C71+C72+C73+C74+C75)+C76</f>
        <v>607.5032301162</v>
      </c>
      <c r="D77" s="19" t="n">
        <f aca="false">(D68+D69+D70+D71+D72+D73+D74+D75)+D76</f>
        <v>787.647882777987</v>
      </c>
      <c r="E77" s="19" t="n">
        <f aca="false">(E68+E69+E70+E71+E72+E73+E74+E75)+E76</f>
        <v>590.763708309242</v>
      </c>
      <c r="F77" s="19" t="n">
        <f aca="false">(F68+F69+F70+F71+F72+F73+F74+F75)+F76</f>
        <v>638.664379499974</v>
      </c>
      <c r="G77" s="19" t="n">
        <f aca="false">(G68+G69+G70+G71+G72+G73+G74+G75)+G76</f>
        <v>242.083920306422</v>
      </c>
      <c r="H77" s="19" t="n">
        <f aca="false">(H68+H69+H70+H71+H72+H73+H74+H75)+H76</f>
        <v>63.1782178701393</v>
      </c>
      <c r="I77" s="19" t="n">
        <f aca="false">(I68+I69+I70+I71+I72+I73+I74+I75)+I76</f>
        <v>-45.0161920274268</v>
      </c>
      <c r="J77" s="20" t="n">
        <f aca="false">SUM(B77:I77)</f>
        <v>3236.01198895425</v>
      </c>
    </row>
    <row r="80" customFormat="false" ht="15" hidden="false" customHeight="false" outlineLevel="0" collapsed="false">
      <c r="A80" s="7" t="s">
        <v>48</v>
      </c>
    </row>
    <row r="81" customFormat="false" ht="15" hidden="false" customHeight="false" outlineLevel="0" collapsed="false">
      <c r="A81" s="3" t="s">
        <v>49</v>
      </c>
      <c r="B81" s="4" t="s">
        <v>3</v>
      </c>
      <c r="C81" s="4" t="s">
        <v>4</v>
      </c>
      <c r="D81" s="4" t="s">
        <v>5</v>
      </c>
      <c r="E81" s="4" t="s">
        <v>6</v>
      </c>
      <c r="F81" s="4" t="s">
        <v>7</v>
      </c>
      <c r="G81" s="4" t="s">
        <v>8</v>
      </c>
      <c r="H81" s="4" t="s">
        <v>9</v>
      </c>
      <c r="I81" s="4" t="s">
        <v>10</v>
      </c>
      <c r="J81" s="4" t="s">
        <v>11</v>
      </c>
    </row>
    <row r="82" customFormat="false" ht="15" hidden="false" customHeight="false" outlineLevel="0" collapsed="false">
      <c r="A82" s="8" t="s">
        <v>30</v>
      </c>
      <c r="B82" s="21" t="n">
        <f aca="false">B29</f>
        <v>1586.50312576823</v>
      </c>
      <c r="C82" s="21" t="n">
        <f aca="false">C29</f>
        <v>637.410087127704</v>
      </c>
      <c r="D82" s="21" t="n">
        <f aca="false">D29</f>
        <v>813.397828818895</v>
      </c>
      <c r="E82" s="21" t="n">
        <f aca="false">E29</f>
        <v>708.843527253523</v>
      </c>
      <c r="F82" s="21" t="n">
        <f aca="false">F29</f>
        <v>826.1081881293</v>
      </c>
      <c r="G82" s="21" t="n">
        <f aca="false">G29</f>
        <v>501.428357068648</v>
      </c>
      <c r="H82" s="21" t="n">
        <f aca="false">H29</f>
        <v>329.867987588517</v>
      </c>
      <c r="I82" s="21" t="n">
        <f aca="false">I29</f>
        <v>69.9069001545069</v>
      </c>
      <c r="J82" s="14" t="n">
        <f aca="false">J29</f>
        <v>5473.46600190932</v>
      </c>
    </row>
    <row r="83" customFormat="false" ht="15" hidden="false" customHeight="false" outlineLevel="0" collapsed="false">
      <c r="A83" s="8" t="s">
        <v>45</v>
      </c>
      <c r="B83" s="21" t="n">
        <f aca="false">B45</f>
        <v>1627.86280434922</v>
      </c>
      <c r="C83" s="21" t="n">
        <f aca="false">C45</f>
        <v>758.420040790154</v>
      </c>
      <c r="D83" s="21" t="n">
        <f aca="false">D45</f>
        <v>976.73886375691</v>
      </c>
      <c r="E83" s="21" t="n">
        <f aca="false">E45</f>
        <v>844.263086277068</v>
      </c>
      <c r="F83" s="21" t="n">
        <f aca="false">F45</f>
        <v>970.402806660894</v>
      </c>
      <c r="G83" s="21" t="n">
        <f aca="false">G45</f>
        <v>571.793112860445</v>
      </c>
      <c r="H83" s="21" t="n">
        <f aca="false">H45</f>
        <v>367.529057509824</v>
      </c>
      <c r="I83" s="21" t="n">
        <f aca="false">I45</f>
        <v>69.9069001545069</v>
      </c>
      <c r="J83" s="14" t="n">
        <f aca="false">J45</f>
        <v>6186.91667235902</v>
      </c>
    </row>
    <row r="84" customFormat="false" ht="15" hidden="false" customHeight="false" outlineLevel="0" collapsed="false">
      <c r="A84" s="8" t="s">
        <v>46</v>
      </c>
      <c r="B84" s="21" t="n">
        <f aca="false">B61</f>
        <v>1193.32096375617</v>
      </c>
      <c r="C84" s="21" t="n">
        <f aca="false">C61</f>
        <v>729.634423156657</v>
      </c>
      <c r="D84" s="21" t="n">
        <f aca="false">D61</f>
        <v>938.212019833663</v>
      </c>
      <c r="E84" s="21" t="n">
        <f aca="false">E61</f>
        <v>748.86068482708</v>
      </c>
      <c r="F84" s="21" t="n">
        <f aca="false">F61</f>
        <v>866.48117116369</v>
      </c>
      <c r="G84" s="21" t="n">
        <f aca="false">G61</f>
        <v>446.933518180908</v>
      </c>
      <c r="H84" s="21" t="n">
        <f aca="false">H61</f>
        <v>246.59673017772</v>
      </c>
      <c r="I84" s="21" t="n">
        <f aca="false">I61</f>
        <v>28.0158714042257</v>
      </c>
      <c r="J84" s="14" t="n">
        <f aca="false">J61</f>
        <v>5198.05538250011</v>
      </c>
    </row>
    <row r="85" customFormat="false" ht="15" hidden="false" customHeight="false" outlineLevel="0" collapsed="false">
      <c r="A85" s="8" t="s">
        <v>47</v>
      </c>
      <c r="B85" s="21" t="n">
        <f aca="false">B77</f>
        <v>351.186842101712</v>
      </c>
      <c r="C85" s="21" t="n">
        <f aca="false">C77</f>
        <v>607.5032301162</v>
      </c>
      <c r="D85" s="21" t="n">
        <f aca="false">D77</f>
        <v>787.647882777987</v>
      </c>
      <c r="E85" s="21" t="n">
        <f aca="false">E77</f>
        <v>590.763708309242</v>
      </c>
      <c r="F85" s="21" t="n">
        <f aca="false">F77</f>
        <v>638.664379499974</v>
      </c>
      <c r="G85" s="21" t="n">
        <f aca="false">G77</f>
        <v>242.083920306422</v>
      </c>
      <c r="H85" s="21" t="n">
        <f aca="false">H77</f>
        <v>63.1782178701393</v>
      </c>
      <c r="I85" s="21" t="n">
        <f aca="false">I77</f>
        <v>-45.0161920274268</v>
      </c>
      <c r="J85" s="14" t="n">
        <f aca="false">J77</f>
        <v>3236.01198895425</v>
      </c>
    </row>
    <row r="86" customFormat="false" ht="15" hidden="false" customHeight="false" outlineLevel="0" collapsed="false">
      <c r="A86" s="22" t="s">
        <v>50</v>
      </c>
      <c r="B86" s="23" t="str">
        <f aca="false">INDEX({"580";"180";"194";"195"},MATCH(MIN(B82:B85),B82:B85,0))</f>
        <v>195</v>
      </c>
      <c r="C86" s="23" t="str">
        <f aca="false">INDEX({"580";"180";"194";"195"},MATCH(MIN(C82:C85),C82:C85,0))</f>
        <v>195</v>
      </c>
      <c r="D86" s="23" t="str">
        <f aca="false">INDEX({"580";"180";"194";"195"},MATCH(MIN(D82:D85),D82:D85,0))</f>
        <v>195</v>
      </c>
      <c r="E86" s="23" t="str">
        <f aca="false">INDEX({"580";"180";"194";"195"},MATCH(MIN(E82:E85),E82:E85,0))</f>
        <v>195</v>
      </c>
      <c r="F86" s="23" t="str">
        <f aca="false">INDEX({"580";"180";"194";"195"},MATCH(MIN(F82:F85),F82:F85,0))</f>
        <v>195</v>
      </c>
      <c r="G86" s="23" t="str">
        <f aca="false">INDEX({"580";"180";"194";"195"},MATCH(MIN(G82:G85),G82:G85,0))</f>
        <v>195</v>
      </c>
      <c r="H86" s="23" t="str">
        <f aca="false">INDEX({"580";"180";"194";"195"},MATCH(MIN(H82:H85),H82:H85,0))</f>
        <v>195</v>
      </c>
      <c r="I86" s="23" t="str">
        <f aca="false">INDEX({"580";"180";"194";"195"},MATCH(MIN(I82:I85),I82:I85,0))</f>
        <v>195</v>
      </c>
      <c r="J86" s="23" t="str">
        <f aca="false">INDEX({"580";"180";"194";"195"},MATCH(MIN(J82:J85),J82:J85,0))</f>
        <v>195</v>
      </c>
    </row>
    <row r="88" customFormat="false" ht="15" hidden="false" customHeight="false" outlineLevel="0" collapsed="false">
      <c r="A88" s="2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17" min="3" style="0" width="9"/>
  </cols>
  <sheetData>
    <row r="1" customFormat="false" ht="16.15" hidden="false" customHeight="false" outlineLevel="0" collapsed="false">
      <c r="A1" s="25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26" t="s">
        <v>54</v>
      </c>
      <c r="B4" s="26" t="s">
        <v>55</v>
      </c>
      <c r="C4" s="26" t="s">
        <v>56</v>
      </c>
      <c r="D4" s="26" t="s">
        <v>57</v>
      </c>
      <c r="E4" s="26" t="s">
        <v>58</v>
      </c>
      <c r="F4" s="26" t="s">
        <v>59</v>
      </c>
      <c r="G4" s="26" t="s">
        <v>60</v>
      </c>
      <c r="H4" s="26" t="s">
        <v>61</v>
      </c>
      <c r="I4" s="26" t="s">
        <v>62</v>
      </c>
      <c r="J4" s="26" t="s">
        <v>63</v>
      </c>
      <c r="K4" s="26" t="s">
        <v>64</v>
      </c>
      <c r="L4" s="26" t="s">
        <v>65</v>
      </c>
      <c r="M4" s="26" t="s">
        <v>66</v>
      </c>
      <c r="N4" s="26" t="s">
        <v>67</v>
      </c>
      <c r="O4" s="26" t="s">
        <v>68</v>
      </c>
      <c r="P4" s="26" t="s">
        <v>69</v>
      </c>
      <c r="Q4" s="26" t="s">
        <v>70</v>
      </c>
    </row>
    <row r="5" customFormat="false" ht="15" hidden="false" customHeight="false" outlineLevel="0" collapsed="false">
      <c r="A5" s="27" t="s">
        <v>71</v>
      </c>
      <c r="B5" s="27" t="s">
        <v>72</v>
      </c>
      <c r="C5" s="28" t="n">
        <v>0.122603</v>
      </c>
      <c r="D5" s="28" t="n">
        <v>0.54</v>
      </c>
      <c r="E5" s="28" t="n">
        <v>0.005554</v>
      </c>
      <c r="F5" s="28" t="n">
        <v>0.001886</v>
      </c>
      <c r="G5" s="28" t="n">
        <v>0.033</v>
      </c>
      <c r="H5" s="28" t="n">
        <v>0.1021</v>
      </c>
      <c r="I5" s="28" t="n">
        <v>0.1021</v>
      </c>
      <c r="J5" s="28" t="n">
        <v>0.0561</v>
      </c>
      <c r="K5" s="28" t="n">
        <v>0.1021</v>
      </c>
      <c r="L5" s="28" t="n">
        <v>0.1021</v>
      </c>
      <c r="M5" s="28" t="n">
        <v>0.0929</v>
      </c>
      <c r="N5" s="28" t="n">
        <v>0.1885</v>
      </c>
      <c r="O5" s="28" t="n">
        <v>0.045</v>
      </c>
      <c r="P5" s="28" t="n">
        <v>0.0929</v>
      </c>
      <c r="Q5" s="28" t="n">
        <v>0.244</v>
      </c>
    </row>
    <row r="6" customFormat="false" ht="15" hidden="false" customHeight="false" outlineLevel="0" collapsed="false">
      <c r="A6" s="27" t="s">
        <v>73</v>
      </c>
      <c r="B6" s="27" t="s">
        <v>74</v>
      </c>
      <c r="C6" s="28" t="n">
        <v>0.130053</v>
      </c>
      <c r="D6" s="28" t="n">
        <v>0.54</v>
      </c>
      <c r="E6" s="28" t="n">
        <v>0.005554</v>
      </c>
      <c r="F6" s="28" t="n">
        <v>0.001886</v>
      </c>
      <c r="G6" s="28" t="n">
        <v>0.033</v>
      </c>
      <c r="H6" s="28" t="n">
        <v>0.1064</v>
      </c>
      <c r="I6" s="28" t="n">
        <v>0.1348</v>
      </c>
      <c r="J6" s="28" t="n">
        <v>0.1348</v>
      </c>
      <c r="K6" s="28" t="n">
        <v>0.1064</v>
      </c>
      <c r="L6" s="28" t="n">
        <v>0.1348</v>
      </c>
      <c r="M6" s="28" t="n">
        <v>0.1093</v>
      </c>
      <c r="N6" s="28" t="n">
        <v>0.2217</v>
      </c>
      <c r="O6" s="28" t="n">
        <v>0.0452</v>
      </c>
      <c r="P6" s="28" t="n">
        <v>0.1388</v>
      </c>
      <c r="Q6" s="28" t="n">
        <v>0.2979</v>
      </c>
    </row>
    <row r="7" customFormat="false" ht="15" hidden="false" customHeight="false" outlineLevel="0" collapsed="false">
      <c r="A7" s="27" t="s">
        <v>75</v>
      </c>
      <c r="B7" s="27" t="s">
        <v>74</v>
      </c>
      <c r="C7" s="28" t="n">
        <v>0.118428</v>
      </c>
      <c r="D7" s="28" t="n">
        <v>0.54</v>
      </c>
      <c r="E7" s="28" t="n">
        <v>0.005554</v>
      </c>
      <c r="F7" s="28" t="n">
        <v>0.001886</v>
      </c>
      <c r="G7" s="28" t="n">
        <v>0.033</v>
      </c>
      <c r="H7" s="28" t="n">
        <v>0.1064</v>
      </c>
      <c r="I7" s="28" t="n">
        <v>0.1348</v>
      </c>
      <c r="J7" s="28" t="n">
        <v>0.1348</v>
      </c>
      <c r="K7" s="28" t="n">
        <v>0.1064</v>
      </c>
      <c r="L7" s="28" t="n">
        <v>0.1348</v>
      </c>
      <c r="M7" s="28" t="n">
        <v>0.1093</v>
      </c>
      <c r="N7" s="28" t="n">
        <v>0.2217</v>
      </c>
      <c r="O7" s="28" t="n">
        <v>0.0452</v>
      </c>
      <c r="P7" s="28" t="n">
        <v>0.1388</v>
      </c>
      <c r="Q7" s="28" t="n">
        <v>0.2979</v>
      </c>
    </row>
    <row r="8" customFormat="false" ht="15" hidden="false" customHeight="false" outlineLevel="0" collapsed="false">
      <c r="A8" s="27" t="s">
        <v>76</v>
      </c>
      <c r="B8" s="27" t="s">
        <v>74</v>
      </c>
      <c r="C8" s="28" t="n">
        <v>0.127798</v>
      </c>
      <c r="D8" s="28" t="n">
        <v>0.54</v>
      </c>
      <c r="E8" s="28" t="n">
        <v>0.005554</v>
      </c>
      <c r="F8" s="28" t="n">
        <v>0.001886</v>
      </c>
      <c r="G8" s="28" t="n">
        <v>0.033</v>
      </c>
      <c r="H8" s="28" t="n">
        <v>0.1064</v>
      </c>
      <c r="I8" s="28" t="n">
        <v>0.1348</v>
      </c>
      <c r="J8" s="28" t="n">
        <v>0.1348</v>
      </c>
      <c r="K8" s="28" t="n">
        <v>0.1064</v>
      </c>
      <c r="L8" s="28" t="n">
        <v>0.1348</v>
      </c>
      <c r="M8" s="28" t="n">
        <v>0.1093</v>
      </c>
      <c r="N8" s="28" t="n">
        <v>0.2217</v>
      </c>
      <c r="O8" s="28" t="n">
        <v>0.0452</v>
      </c>
      <c r="P8" s="28" t="n">
        <v>0.1388</v>
      </c>
      <c r="Q8" s="28" t="n">
        <v>0.2979</v>
      </c>
    </row>
    <row r="9" customFormat="false" ht="15" hidden="false" customHeight="false" outlineLevel="0" collapsed="false">
      <c r="A9" s="27" t="s">
        <v>77</v>
      </c>
      <c r="B9" s="27" t="s">
        <v>74</v>
      </c>
      <c r="C9" s="28" t="n">
        <v>0.130177</v>
      </c>
      <c r="D9" s="28" t="n">
        <v>0.54</v>
      </c>
      <c r="E9" s="28" t="n">
        <v>0.005554</v>
      </c>
      <c r="F9" s="28" t="n">
        <v>0.001886</v>
      </c>
      <c r="G9" s="28" t="n">
        <v>0.033</v>
      </c>
      <c r="H9" s="28" t="n">
        <v>0.1064</v>
      </c>
      <c r="I9" s="28" t="n">
        <v>0.1348</v>
      </c>
      <c r="J9" s="28" t="n">
        <v>0.1348</v>
      </c>
      <c r="K9" s="28" t="n">
        <v>0.1064</v>
      </c>
      <c r="L9" s="28" t="n">
        <v>0.1348</v>
      </c>
      <c r="M9" s="28" t="n">
        <v>0.1093</v>
      </c>
      <c r="N9" s="28" t="n">
        <v>0.2217</v>
      </c>
      <c r="O9" s="28" t="n">
        <v>0.0452</v>
      </c>
      <c r="P9" s="28" t="n">
        <v>0.1388</v>
      </c>
      <c r="Q9" s="28" t="n">
        <v>0.2979</v>
      </c>
    </row>
    <row r="10" customFormat="false" ht="15" hidden="false" customHeight="false" outlineLevel="0" collapsed="false">
      <c r="A10" s="27" t="s">
        <v>78</v>
      </c>
      <c r="B10" s="27" t="s">
        <v>79</v>
      </c>
      <c r="C10" s="29" t="n">
        <v>0.129685</v>
      </c>
      <c r="D10" s="29" t="n">
        <v>0.54</v>
      </c>
      <c r="E10" s="29" t="n">
        <v>0.005554</v>
      </c>
      <c r="F10" s="29" t="n">
        <v>0.001886</v>
      </c>
      <c r="G10" s="29" t="n">
        <v>0.033</v>
      </c>
      <c r="H10" s="29" t="n">
        <v>0.1021</v>
      </c>
      <c r="I10" s="29" t="n">
        <v>0.1021</v>
      </c>
      <c r="J10" s="29" t="n">
        <v>0.0561</v>
      </c>
      <c r="K10" s="29" t="n">
        <v>0.1021</v>
      </c>
      <c r="L10" s="29" t="n">
        <v>0.1021</v>
      </c>
      <c r="M10" s="29" t="n">
        <v>0.0929</v>
      </c>
      <c r="N10" s="29" t="n">
        <v>0.1885</v>
      </c>
      <c r="O10" s="29" t="n">
        <v>0.045</v>
      </c>
      <c r="P10" s="29" t="n">
        <v>0.0929</v>
      </c>
      <c r="Q10" s="29" t="n">
        <v>0.244</v>
      </c>
    </row>
    <row r="11" customFormat="false" ht="15" hidden="false" customHeight="false" outlineLevel="0" collapsed="false">
      <c r="A11" s="27" t="s">
        <v>80</v>
      </c>
      <c r="B11" s="27" t="s">
        <v>79</v>
      </c>
      <c r="C11" s="29" t="n">
        <v>0.127804</v>
      </c>
      <c r="D11" s="29" t="n">
        <v>0.54</v>
      </c>
      <c r="E11" s="29" t="n">
        <v>0.005554</v>
      </c>
      <c r="F11" s="29" t="n">
        <v>0.001886</v>
      </c>
      <c r="G11" s="29" t="n">
        <v>0.033</v>
      </c>
      <c r="H11" s="29" t="n">
        <v>0.1021</v>
      </c>
      <c r="I11" s="29" t="n">
        <v>0.1021</v>
      </c>
      <c r="J11" s="29" t="n">
        <v>0.0561</v>
      </c>
      <c r="K11" s="29" t="n">
        <v>0.1021</v>
      </c>
      <c r="L11" s="29" t="n">
        <v>0.1021</v>
      </c>
      <c r="M11" s="29" t="n">
        <v>0.0929</v>
      </c>
      <c r="N11" s="29" t="n">
        <v>0.1885</v>
      </c>
      <c r="O11" s="29" t="n">
        <v>0.045</v>
      </c>
      <c r="P11" s="29" t="n">
        <v>0.0929</v>
      </c>
      <c r="Q11" s="29" t="n">
        <v>0.244</v>
      </c>
    </row>
    <row r="12" customFormat="false" ht="15" hidden="false" customHeight="false" outlineLevel="0" collapsed="false">
      <c r="A12" s="27" t="s">
        <v>81</v>
      </c>
      <c r="B12" s="27" t="s">
        <v>79</v>
      </c>
      <c r="C12" s="29" t="n">
        <v>0.125526</v>
      </c>
      <c r="D12" s="29" t="n">
        <v>0.54</v>
      </c>
      <c r="E12" s="29" t="n">
        <v>0.005554</v>
      </c>
      <c r="F12" s="29" t="n">
        <v>0.001886</v>
      </c>
      <c r="G12" s="29" t="n">
        <v>0.033</v>
      </c>
      <c r="H12" s="29" t="n">
        <v>0.1021</v>
      </c>
      <c r="I12" s="29" t="n">
        <v>0.1021</v>
      </c>
      <c r="J12" s="29" t="n">
        <v>0.0561</v>
      </c>
      <c r="K12" s="29" t="n">
        <v>0.1021</v>
      </c>
      <c r="L12" s="29" t="n">
        <v>0.1021</v>
      </c>
      <c r="M12" s="29" t="n">
        <v>0.0929</v>
      </c>
      <c r="N12" s="29" t="n">
        <v>0.1885</v>
      </c>
      <c r="O12" s="29" t="n">
        <v>0.045</v>
      </c>
      <c r="P12" s="29" t="n">
        <v>0.0929</v>
      </c>
      <c r="Q12" s="29" t="n">
        <v>0.244</v>
      </c>
    </row>
    <row r="13" customFormat="false" ht="15" hidden="false" customHeight="false" outlineLevel="0" collapsed="false">
      <c r="A13" s="27" t="s">
        <v>82</v>
      </c>
      <c r="B13" s="27" t="s">
        <v>79</v>
      </c>
      <c r="C13" s="29" t="n">
        <v>0.129777</v>
      </c>
      <c r="D13" s="29" t="n">
        <v>0.56</v>
      </c>
      <c r="E13" s="29" t="n">
        <v>0.006014</v>
      </c>
      <c r="F13" s="29" t="n">
        <v>0.001763</v>
      </c>
      <c r="G13" s="29" t="n">
        <v>0.0372</v>
      </c>
      <c r="H13" s="29" t="n">
        <v>0.1064</v>
      </c>
      <c r="I13" s="29" t="n">
        <v>0.1064</v>
      </c>
      <c r="J13" s="29" t="n">
        <v>0.0585</v>
      </c>
      <c r="K13" s="29" t="n">
        <v>0.1064</v>
      </c>
      <c r="L13" s="29" t="n">
        <v>0.1064</v>
      </c>
      <c r="M13" s="29" t="n">
        <v>0.0929</v>
      </c>
      <c r="N13" s="29" t="n">
        <v>0.1885</v>
      </c>
      <c r="O13" s="29" t="n">
        <v>0.045</v>
      </c>
      <c r="P13" s="29" t="n">
        <v>0.0929</v>
      </c>
      <c r="Q13" s="29" t="n">
        <v>0.244</v>
      </c>
    </row>
    <row r="14" customFormat="false" ht="15" hidden="false" customHeight="false" outlineLevel="0" collapsed="false">
      <c r="A14" s="27" t="s">
        <v>83</v>
      </c>
      <c r="B14" s="27" t="s">
        <v>79</v>
      </c>
      <c r="C14" s="29" t="n">
        <v>0.146948</v>
      </c>
      <c r="D14" s="29" t="n">
        <v>0.56</v>
      </c>
      <c r="E14" s="29" t="n">
        <v>0.006014</v>
      </c>
      <c r="F14" s="29" t="n">
        <v>0.001763</v>
      </c>
      <c r="G14" s="29" t="n">
        <v>0.0372</v>
      </c>
      <c r="H14" s="29" t="n">
        <v>0.1064</v>
      </c>
      <c r="I14" s="29" t="n">
        <v>0.1064</v>
      </c>
      <c r="J14" s="29" t="n">
        <v>0.0585</v>
      </c>
      <c r="K14" s="29" t="n">
        <v>0.1064</v>
      </c>
      <c r="L14" s="29" t="n">
        <v>0.1064</v>
      </c>
      <c r="M14" s="29" t="n">
        <v>0.0929</v>
      </c>
      <c r="N14" s="29" t="n">
        <v>0.1885</v>
      </c>
      <c r="O14" s="29" t="n">
        <v>0.045</v>
      </c>
      <c r="P14" s="29" t="n">
        <v>0.0929</v>
      </c>
      <c r="Q14" s="29" t="n">
        <v>0.244</v>
      </c>
    </row>
    <row r="15" customFormat="false" ht="15" hidden="false" customHeight="false" outlineLevel="0" collapsed="false">
      <c r="A15" s="27" t="s">
        <v>84</v>
      </c>
      <c r="B15" s="27" t="s">
        <v>79</v>
      </c>
      <c r="C15" s="29" t="n">
        <v>0.165666</v>
      </c>
      <c r="D15" s="29" t="n">
        <v>0.56</v>
      </c>
      <c r="E15" s="29" t="n">
        <v>0.006014</v>
      </c>
      <c r="F15" s="29" t="n">
        <v>0.001763</v>
      </c>
      <c r="G15" s="29" t="n">
        <v>0.0372</v>
      </c>
      <c r="H15" s="29" t="n">
        <v>0.1064</v>
      </c>
      <c r="I15" s="29" t="n">
        <v>0.1064</v>
      </c>
      <c r="J15" s="29" t="n">
        <v>0.0585</v>
      </c>
      <c r="K15" s="29" t="n">
        <v>0.1064</v>
      </c>
      <c r="L15" s="29" t="n">
        <v>0.1064</v>
      </c>
      <c r="M15" s="29" t="n">
        <v>0.0929</v>
      </c>
      <c r="N15" s="29" t="n">
        <v>0.1885</v>
      </c>
      <c r="O15" s="29" t="n">
        <v>0.045</v>
      </c>
      <c r="P15" s="29" t="n">
        <v>0.0929</v>
      </c>
      <c r="Q15" s="29" t="n">
        <v>0.244</v>
      </c>
    </row>
    <row r="16" customFormat="false" ht="15" hidden="false" customHeight="false" outlineLevel="0" collapsed="false">
      <c r="A16" s="27" t="s">
        <v>85</v>
      </c>
      <c r="B16" s="27" t="s">
        <v>79</v>
      </c>
      <c r="C16" s="29" t="n">
        <v>0.165927</v>
      </c>
      <c r="D16" s="29" t="n">
        <v>0.56</v>
      </c>
      <c r="E16" s="29" t="n">
        <v>0.006014</v>
      </c>
      <c r="F16" s="29" t="n">
        <v>0.001763</v>
      </c>
      <c r="G16" s="29" t="n">
        <v>0.0372</v>
      </c>
      <c r="H16" s="29" t="n">
        <v>0.1064</v>
      </c>
      <c r="I16" s="29" t="n">
        <v>0.1064</v>
      </c>
      <c r="J16" s="29" t="n">
        <v>0.0585</v>
      </c>
      <c r="K16" s="29" t="n">
        <v>0.1064</v>
      </c>
      <c r="L16" s="29" t="n">
        <v>0.1064</v>
      </c>
      <c r="M16" s="29" t="n">
        <v>0.0929</v>
      </c>
      <c r="N16" s="29" t="n">
        <v>0.1885</v>
      </c>
      <c r="O16" s="29" t="n">
        <v>0.045</v>
      </c>
      <c r="P16" s="29" t="n">
        <v>0.0929</v>
      </c>
      <c r="Q16" s="29" t="n">
        <v>0.244</v>
      </c>
    </row>
    <row r="17" customFormat="false" ht="15" hidden="false" customHeight="false" outlineLevel="0" collapsed="false">
      <c r="A17" s="27" t="s">
        <v>86</v>
      </c>
      <c r="B17" s="27" t="s">
        <v>79</v>
      </c>
      <c r="C17" s="29" t="n">
        <v>0.160182</v>
      </c>
      <c r="D17" s="29" t="n">
        <v>0.56</v>
      </c>
      <c r="E17" s="29" t="n">
        <v>0.006014</v>
      </c>
      <c r="F17" s="29" t="n">
        <v>0.001763</v>
      </c>
      <c r="G17" s="29" t="n">
        <v>0.0372</v>
      </c>
      <c r="H17" s="29" t="n">
        <v>0.1064</v>
      </c>
      <c r="I17" s="29" t="n">
        <v>0.1064</v>
      </c>
      <c r="J17" s="29" t="n">
        <v>0.0585</v>
      </c>
      <c r="K17" s="29" t="n">
        <v>0.1064</v>
      </c>
      <c r="L17" s="29" t="n">
        <v>0.1064</v>
      </c>
      <c r="M17" s="29" t="n">
        <v>0.0929</v>
      </c>
      <c r="N17" s="29" t="n">
        <v>0.1885</v>
      </c>
      <c r="O17" s="29" t="n">
        <v>0.045</v>
      </c>
      <c r="P17" s="29" t="n">
        <v>0.0929</v>
      </c>
      <c r="Q17" s="29" t="n">
        <v>0.244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30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26" t="s">
        <v>89</v>
      </c>
      <c r="B4" s="31" t="s">
        <v>3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</row>
    <row r="5" customFormat="false" ht="15" hidden="false" customHeight="false" outlineLevel="0" collapsed="false">
      <c r="A5" s="32" t="s">
        <v>90</v>
      </c>
      <c r="B5" s="29" t="n">
        <v>0.54</v>
      </c>
      <c r="C5" s="29" t="n">
        <v>0.54</v>
      </c>
      <c r="D5" s="29" t="n">
        <v>0.55</v>
      </c>
      <c r="E5" s="29" t="n">
        <v>0.56</v>
      </c>
      <c r="F5" s="29" t="n">
        <v>0.56</v>
      </c>
      <c r="G5" s="29" t="n">
        <v>0.56</v>
      </c>
      <c r="H5" s="29" t="n">
        <v>0.56</v>
      </c>
      <c r="I5" s="29" t="n">
        <v>0.56</v>
      </c>
    </row>
    <row r="6" customFormat="false" ht="15" hidden="false" customHeight="false" outlineLevel="0" collapsed="false">
      <c r="A6" s="32" t="s">
        <v>91</v>
      </c>
      <c r="B6" s="29" t="n">
        <v>0.005554</v>
      </c>
      <c r="C6" s="29" t="n">
        <v>0.005554</v>
      </c>
      <c r="D6" s="29" t="n">
        <v>0.005784</v>
      </c>
      <c r="E6" s="29" t="n">
        <v>0.006014</v>
      </c>
      <c r="F6" s="29" t="n">
        <v>0.006014</v>
      </c>
      <c r="G6" s="29" t="n">
        <v>0.006014</v>
      </c>
      <c r="H6" s="29" t="n">
        <v>0.006014</v>
      </c>
      <c r="I6" s="29" t="n">
        <v>0.006014</v>
      </c>
    </row>
    <row r="7" customFormat="false" ht="15" hidden="false" customHeight="false" outlineLevel="0" collapsed="false">
      <c r="A7" s="32" t="s">
        <v>92</v>
      </c>
      <c r="B7" s="29" t="n">
        <v>0.001886</v>
      </c>
      <c r="C7" s="29" t="n">
        <v>0.001886</v>
      </c>
      <c r="D7" s="29" t="n">
        <v>0.001825</v>
      </c>
      <c r="E7" s="29" t="n">
        <v>0.001763</v>
      </c>
      <c r="F7" s="29" t="n">
        <v>0.001763</v>
      </c>
      <c r="G7" s="29" t="n">
        <v>0.001763</v>
      </c>
      <c r="H7" s="29" t="n">
        <v>0.001763</v>
      </c>
      <c r="I7" s="29" t="n">
        <v>0.001763</v>
      </c>
    </row>
    <row r="8" customFormat="false" ht="15" hidden="false" customHeight="false" outlineLevel="0" collapsed="false">
      <c r="A8" s="32" t="s">
        <v>93</v>
      </c>
      <c r="B8" s="29" t="n">
        <v>0.033</v>
      </c>
      <c r="C8" s="29" t="n">
        <v>0.033</v>
      </c>
      <c r="D8" s="29" t="n">
        <v>0.0351</v>
      </c>
      <c r="E8" s="29" t="n">
        <v>0.0372</v>
      </c>
      <c r="F8" s="29" t="n">
        <v>0.0372</v>
      </c>
      <c r="G8" s="29" t="n">
        <v>0.0372</v>
      </c>
      <c r="H8" s="29" t="n">
        <v>0.0372</v>
      </c>
      <c r="I8" s="29" t="n">
        <v>0.0372</v>
      </c>
    </row>
    <row r="9" customFormat="false" ht="15" hidden="false" customHeight="false" outlineLevel="0" collapsed="false">
      <c r="A9" s="32" t="s">
        <v>94</v>
      </c>
      <c r="B9" s="29" t="n">
        <v>-0.0006</v>
      </c>
      <c r="C9" s="29" t="n">
        <v>-0.0006</v>
      </c>
      <c r="D9" s="29" t="n">
        <v>-0.0006</v>
      </c>
      <c r="E9" s="29" t="n">
        <v>-0.0006</v>
      </c>
      <c r="F9" s="29" t="n">
        <v>-0.0006</v>
      </c>
      <c r="G9" s="29" t="n">
        <v>-0.0006</v>
      </c>
      <c r="H9" s="29" t="n">
        <v>-0.0006</v>
      </c>
      <c r="I9" s="29" t="n">
        <v>-0.0006</v>
      </c>
    </row>
    <row r="10" customFormat="false" ht="15" hidden="false" customHeight="false" outlineLevel="0" collapsed="false">
      <c r="A10" s="32" t="s">
        <v>95</v>
      </c>
      <c r="B10" s="29" t="n">
        <v>-0.0003</v>
      </c>
      <c r="C10" s="29" t="n">
        <v>-0.0003</v>
      </c>
      <c r="D10" s="29" t="n">
        <v>-0.0003</v>
      </c>
      <c r="E10" s="29" t="n">
        <v>-0.0003</v>
      </c>
      <c r="F10" s="29" t="n">
        <v>-0.0003</v>
      </c>
      <c r="G10" s="29" t="n">
        <v>-0.0003</v>
      </c>
      <c r="H10" s="29" t="n">
        <v>-0.0003</v>
      </c>
      <c r="I10" s="29" t="n">
        <v>-0.0003</v>
      </c>
    </row>
    <row r="11" customFormat="false" ht="15" hidden="false" customHeight="false" outlineLevel="0" collapsed="false">
      <c r="A11" s="32" t="s">
        <v>96</v>
      </c>
      <c r="B11" s="29" t="n">
        <v>0.0027</v>
      </c>
      <c r="C11" s="29" t="n">
        <v>0.0027</v>
      </c>
      <c r="D11" s="29" t="n">
        <v>0.0027</v>
      </c>
      <c r="E11" s="29" t="n">
        <v>0.0027</v>
      </c>
      <c r="F11" s="29" t="n">
        <v>0.0027</v>
      </c>
      <c r="G11" s="29" t="n">
        <v>0.0027</v>
      </c>
      <c r="H11" s="29" t="n">
        <v>0.0027</v>
      </c>
      <c r="I11" s="29" t="n">
        <v>0.0027</v>
      </c>
    </row>
    <row r="12" customFormat="false" ht="15" hidden="false" customHeight="false" outlineLevel="0" collapsed="false">
      <c r="A12" s="32" t="s">
        <v>97</v>
      </c>
      <c r="B12" s="29" t="n">
        <v>0.0215</v>
      </c>
      <c r="C12" s="29" t="n">
        <v>0.0215</v>
      </c>
      <c r="D12" s="29" t="n">
        <v>0.0215</v>
      </c>
      <c r="E12" s="29" t="n">
        <v>0.0215</v>
      </c>
      <c r="F12" s="29" t="n">
        <v>0.0215</v>
      </c>
      <c r="G12" s="29" t="n">
        <v>0.0215</v>
      </c>
      <c r="H12" s="29" t="n">
        <v>0.0215</v>
      </c>
      <c r="I12" s="29" t="n">
        <v>0.0215</v>
      </c>
    </row>
    <row r="13" customFormat="false" ht="15" hidden="false" customHeight="false" outlineLevel="0" collapsed="false">
      <c r="A13" s="32" t="s">
        <v>98</v>
      </c>
      <c r="B13" s="29" t="n">
        <v>0.0231</v>
      </c>
      <c r="C13" s="29" t="n">
        <v>0.0231</v>
      </c>
      <c r="D13" s="29" t="n">
        <v>0.0231</v>
      </c>
      <c r="E13" s="29" t="n">
        <v>0.0231</v>
      </c>
      <c r="F13" s="29" t="n">
        <v>0.0231</v>
      </c>
      <c r="G13" s="29" t="n">
        <v>0.0231</v>
      </c>
      <c r="H13" s="29" t="n">
        <v>0.0231</v>
      </c>
      <c r="I13" s="29" t="n">
        <v>0.0231</v>
      </c>
    </row>
    <row r="14" customFormat="false" ht="15" hidden="false" customHeight="false" outlineLevel="0" collapsed="false">
      <c r="A14" s="32" t="s">
        <v>99</v>
      </c>
      <c r="B14" s="29" t="n">
        <v>0.025</v>
      </c>
      <c r="C14" s="29" t="n">
        <v>0.025</v>
      </c>
      <c r="D14" s="29" t="n">
        <v>0.025</v>
      </c>
      <c r="E14" s="29" t="n">
        <v>0.025</v>
      </c>
      <c r="F14" s="29" t="n">
        <v>0.025</v>
      </c>
      <c r="G14" s="29" t="n">
        <v>0.025</v>
      </c>
      <c r="H14" s="29" t="n">
        <v>0.025</v>
      </c>
      <c r="I14" s="29" t="n">
        <v>0.025</v>
      </c>
    </row>
    <row r="15" customFormat="false" ht="15" hidden="false" customHeight="false" outlineLevel="0" collapsed="false">
      <c r="A15" s="32" t="s">
        <v>100</v>
      </c>
      <c r="B15" s="29" t="n">
        <v>0.127187</v>
      </c>
      <c r="C15" s="29" t="n">
        <v>0.126702</v>
      </c>
      <c r="D15" s="29" t="n">
        <v>0.127651</v>
      </c>
      <c r="E15" s="29" t="n">
        <v>0.137749</v>
      </c>
      <c r="F15" s="29" t="n">
        <v>0.156609</v>
      </c>
      <c r="G15" s="29" t="n">
        <v>0.165801</v>
      </c>
      <c r="H15" s="29" t="n">
        <v>0.162955</v>
      </c>
      <c r="I15" s="29" t="n">
        <v>0.160182</v>
      </c>
    </row>
    <row r="16" customFormat="false" ht="15" hidden="false" customHeight="false" outlineLevel="0" collapsed="false">
      <c r="A16" s="32" t="s">
        <v>101</v>
      </c>
      <c r="B16" s="29" t="n">
        <v>0.105204</v>
      </c>
      <c r="C16" s="29" t="n">
        <v>0.1021</v>
      </c>
      <c r="D16" s="29" t="n">
        <v>0.10425</v>
      </c>
      <c r="E16" s="29" t="n">
        <v>0.1064</v>
      </c>
      <c r="F16" s="29" t="n">
        <v>0.1064</v>
      </c>
      <c r="G16" s="29" t="n">
        <v>0.1064</v>
      </c>
      <c r="H16" s="29" t="n">
        <v>0.1064</v>
      </c>
      <c r="I16" s="29" t="n">
        <v>0.1064</v>
      </c>
    </row>
    <row r="17" customFormat="false" ht="15" hidden="false" customHeight="false" outlineLevel="0" collapsed="false">
      <c r="A17" s="32" t="s">
        <v>102</v>
      </c>
      <c r="B17" s="29" t="n">
        <v>0.125706</v>
      </c>
      <c r="C17" s="29" t="n">
        <v>0.1021</v>
      </c>
      <c r="D17" s="29" t="n">
        <v>0.10425</v>
      </c>
      <c r="E17" s="29" t="n">
        <v>0.1064</v>
      </c>
      <c r="F17" s="29" t="n">
        <v>0.1064</v>
      </c>
      <c r="G17" s="29" t="n">
        <v>0.1064</v>
      </c>
      <c r="H17" s="29" t="n">
        <v>0.1064</v>
      </c>
      <c r="I17" s="29" t="n">
        <v>0.1064</v>
      </c>
    </row>
    <row r="18" customFormat="false" ht="15" hidden="false" customHeight="false" outlineLevel="0" collapsed="false">
      <c r="A18" s="32" t="s">
        <v>103</v>
      </c>
      <c r="B18" s="29" t="n">
        <v>0.112913</v>
      </c>
      <c r="C18" s="29" t="n">
        <v>0.0561</v>
      </c>
      <c r="D18" s="29" t="n">
        <v>0.0573</v>
      </c>
      <c r="E18" s="29" t="n">
        <v>0.0585</v>
      </c>
      <c r="F18" s="29" t="n">
        <v>0.0585</v>
      </c>
      <c r="G18" s="29" t="n">
        <v>0.0585</v>
      </c>
      <c r="H18" s="29" t="n">
        <v>0.0585</v>
      </c>
      <c r="I18" s="29" t="n">
        <v>0.0585</v>
      </c>
    </row>
    <row r="19" customFormat="false" ht="15" hidden="false" customHeight="false" outlineLevel="0" collapsed="false">
      <c r="A19" s="32" t="s">
        <v>104</v>
      </c>
      <c r="B19" s="29" t="n">
        <v>0.105204</v>
      </c>
      <c r="C19" s="29" t="n">
        <v>0.1021</v>
      </c>
      <c r="D19" s="29" t="n">
        <v>0.10425</v>
      </c>
      <c r="E19" s="29" t="n">
        <v>0.1064</v>
      </c>
      <c r="F19" s="29" t="n">
        <v>0.1064</v>
      </c>
      <c r="G19" s="29" t="n">
        <v>0.1064</v>
      </c>
      <c r="H19" s="29" t="n">
        <v>0.1064</v>
      </c>
      <c r="I19" s="29" t="n">
        <v>0.1064</v>
      </c>
    </row>
    <row r="20" customFormat="false" ht="15" hidden="false" customHeight="false" outlineLevel="0" collapsed="false">
      <c r="A20" s="32" t="s">
        <v>105</v>
      </c>
      <c r="B20" s="29" t="n">
        <v>0.125706</v>
      </c>
      <c r="C20" s="29" t="n">
        <v>0.1021</v>
      </c>
      <c r="D20" s="29" t="n">
        <v>0.10425</v>
      </c>
      <c r="E20" s="29" t="n">
        <v>0.1064</v>
      </c>
      <c r="F20" s="29" t="n">
        <v>0.1064</v>
      </c>
      <c r="G20" s="29" t="n">
        <v>0.1064</v>
      </c>
      <c r="H20" s="29" t="n">
        <v>0.1064</v>
      </c>
      <c r="I20" s="29" t="n">
        <v>0.1064</v>
      </c>
    </row>
    <row r="21" customFormat="false" ht="15" hidden="false" customHeight="false" outlineLevel="0" collapsed="false">
      <c r="A21" s="32" t="s">
        <v>106</v>
      </c>
      <c r="B21" s="29" t="n">
        <v>0.104739</v>
      </c>
      <c r="C21" s="29" t="n">
        <v>0.0929</v>
      </c>
      <c r="D21" s="29" t="n">
        <v>0.0929</v>
      </c>
      <c r="E21" s="29" t="n">
        <v>0.0929</v>
      </c>
      <c r="F21" s="29" t="n">
        <v>0.0929</v>
      </c>
      <c r="G21" s="29" t="n">
        <v>0.0929</v>
      </c>
      <c r="H21" s="29" t="n">
        <v>0.0929</v>
      </c>
      <c r="I21" s="29" t="n">
        <v>0.0929</v>
      </c>
    </row>
    <row r="22" customFormat="false" ht="15" hidden="false" customHeight="false" outlineLevel="0" collapsed="false">
      <c r="A22" s="32" t="s">
        <v>107</v>
      </c>
      <c r="B22" s="29" t="n">
        <v>0.212467</v>
      </c>
      <c r="C22" s="29" t="n">
        <v>0.1885</v>
      </c>
      <c r="D22" s="29" t="n">
        <v>0.1885</v>
      </c>
      <c r="E22" s="29" t="n">
        <v>0.1885</v>
      </c>
      <c r="F22" s="29" t="n">
        <v>0.1885</v>
      </c>
      <c r="G22" s="29" t="n">
        <v>0.1885</v>
      </c>
      <c r="H22" s="29" t="n">
        <v>0.1885</v>
      </c>
      <c r="I22" s="29" t="n">
        <v>0.1885</v>
      </c>
    </row>
    <row r="23" customFormat="false" ht="15" hidden="false" customHeight="false" outlineLevel="0" collapsed="false">
      <c r="A23" s="32" t="s">
        <v>108</v>
      </c>
      <c r="B23" s="29" t="n">
        <v>0.83</v>
      </c>
      <c r="C23" s="29" t="n">
        <v>0.83</v>
      </c>
      <c r="D23" s="29" t="n">
        <v>0.83</v>
      </c>
      <c r="E23" s="29" t="n">
        <v>0.83</v>
      </c>
      <c r="F23" s="29" t="n">
        <v>0.83</v>
      </c>
      <c r="G23" s="29" t="n">
        <v>0.83</v>
      </c>
      <c r="H23" s="29" t="n">
        <v>0.83</v>
      </c>
      <c r="I23" s="29" t="n">
        <v>0.83</v>
      </c>
    </row>
    <row r="24" customFormat="false" ht="15" hidden="false" customHeight="false" outlineLevel="0" collapsed="false">
      <c r="A24" s="32" t="s">
        <v>109</v>
      </c>
      <c r="B24" s="29" t="n">
        <v>2.001533</v>
      </c>
      <c r="C24" s="29" t="n">
        <v>2.134</v>
      </c>
      <c r="D24" s="29" t="n">
        <v>2.134</v>
      </c>
      <c r="E24" s="29" t="n">
        <v>2.134</v>
      </c>
      <c r="F24" s="29" t="n">
        <v>2.134</v>
      </c>
      <c r="G24" s="29" t="n">
        <v>2.134</v>
      </c>
      <c r="H24" s="29" t="n">
        <v>2.134</v>
      </c>
      <c r="I24" s="29" t="n">
        <v>2.134</v>
      </c>
    </row>
    <row r="25" customFormat="false" ht="15" hidden="false" customHeight="false" outlineLevel="0" collapsed="false">
      <c r="A25" s="32" t="s">
        <v>110</v>
      </c>
      <c r="B25" s="29" t="n">
        <v>0.045144</v>
      </c>
      <c r="C25" s="29" t="n">
        <v>0.045</v>
      </c>
      <c r="D25" s="29" t="n">
        <v>0.045</v>
      </c>
      <c r="E25" s="29" t="n">
        <v>0.045</v>
      </c>
      <c r="F25" s="29" t="n">
        <v>0.045</v>
      </c>
      <c r="G25" s="29" t="n">
        <v>0.045</v>
      </c>
      <c r="H25" s="29" t="n">
        <v>0.045</v>
      </c>
      <c r="I25" s="29" t="n">
        <v>0.045</v>
      </c>
    </row>
    <row r="26" customFormat="false" ht="15" hidden="false" customHeight="false" outlineLevel="0" collapsed="false">
      <c r="A26" s="32" t="s">
        <v>111</v>
      </c>
      <c r="B26" s="29" t="n">
        <v>0.126035</v>
      </c>
      <c r="C26" s="29" t="n">
        <v>0.0929</v>
      </c>
      <c r="D26" s="29" t="n">
        <v>0.0929</v>
      </c>
      <c r="E26" s="29" t="n">
        <v>0.0929</v>
      </c>
      <c r="F26" s="29" t="n">
        <v>0.0929</v>
      </c>
      <c r="G26" s="29" t="n">
        <v>0.0929</v>
      </c>
      <c r="H26" s="29" t="n">
        <v>0.0929</v>
      </c>
      <c r="I26" s="29" t="n">
        <v>0.0929</v>
      </c>
    </row>
    <row r="27" customFormat="false" ht="15" hidden="false" customHeight="false" outlineLevel="0" collapsed="false">
      <c r="A27" s="32" t="s">
        <v>112</v>
      </c>
      <c r="B27" s="29" t="n">
        <v>0.28291</v>
      </c>
      <c r="C27" s="29" t="n">
        <v>0.244</v>
      </c>
      <c r="D27" s="29" t="n">
        <v>0.244</v>
      </c>
      <c r="E27" s="29" t="n">
        <v>0.244</v>
      </c>
      <c r="F27" s="29" t="n">
        <v>0.244</v>
      </c>
      <c r="G27" s="29" t="n">
        <v>0.244</v>
      </c>
      <c r="H27" s="29" t="n">
        <v>0.244</v>
      </c>
      <c r="I27" s="29" t="n">
        <v>0.244</v>
      </c>
    </row>
    <row r="28" customFormat="false" ht="15" hidden="false" customHeight="false" outlineLevel="0" collapsed="false">
      <c r="A28" s="32" t="s">
        <v>113</v>
      </c>
      <c r="B28" s="29" t="n">
        <v>0.6</v>
      </c>
      <c r="C28" s="29" t="n">
        <v>0.6</v>
      </c>
      <c r="D28" s="29" t="n">
        <v>0.6</v>
      </c>
      <c r="E28" s="29" t="n">
        <v>0.6</v>
      </c>
      <c r="F28" s="29" t="n">
        <v>0.6</v>
      </c>
      <c r="G28" s="29" t="n">
        <v>0.6</v>
      </c>
      <c r="H28" s="29" t="n">
        <v>0.6</v>
      </c>
      <c r="I28" s="29" t="n">
        <v>0.6</v>
      </c>
    </row>
    <row r="29" customFormat="false" ht="15" hidden="false" customHeight="false" outlineLevel="0" collapsed="false">
      <c r="A29" s="32" t="s">
        <v>114</v>
      </c>
      <c r="B29" s="29" t="n">
        <v>1</v>
      </c>
      <c r="C29" s="29" t="n">
        <v>1</v>
      </c>
      <c r="D29" s="29" t="n">
        <v>1</v>
      </c>
      <c r="E29" s="29" t="n">
        <v>1</v>
      </c>
      <c r="F29" s="29" t="n">
        <v>1</v>
      </c>
      <c r="G29" s="29" t="n">
        <v>1</v>
      </c>
      <c r="H29" s="29" t="n">
        <v>1</v>
      </c>
      <c r="I29" s="29" t="n">
        <v>1</v>
      </c>
    </row>
    <row r="30" customFormat="false" ht="15" hidden="false" customHeight="false" outlineLevel="0" collapsed="false">
      <c r="A30" s="32" t="s">
        <v>115</v>
      </c>
      <c r="B30" s="29" t="n">
        <v>1.805002</v>
      </c>
      <c r="C30" s="29" t="n">
        <v>1.9688</v>
      </c>
      <c r="D30" s="29" t="n">
        <v>1.9688</v>
      </c>
      <c r="E30" s="29" t="n">
        <v>1.9688</v>
      </c>
      <c r="F30" s="29" t="n">
        <v>1.9688</v>
      </c>
      <c r="G30" s="29" t="n">
        <v>1.9688</v>
      </c>
      <c r="H30" s="29" t="n">
        <v>1.9688</v>
      </c>
      <c r="I30" s="29" t="n">
        <v>1.9688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2026-05-31T15:34:03Z</dcterms:created>
  <dc:creator>openpyxl</dc:creator>
  <dc:description/>
  <dc:language>en-US</dc:language>
  <cp:lastModifiedBy/>
  <dcterms:modified xsi:type="dcterms:W3CDTF">2026-05-31T15:34:04Z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